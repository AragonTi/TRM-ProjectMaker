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&amp;&amp;_Tournament_Manager\~~NEW-TECHPLAN\WorkingProject\"/>
    </mc:Choice>
  </mc:AlternateContent>
  <xr:revisionPtr revIDLastSave="0" documentId="13_ncr:1_{E2AD4744-2746-437F-BC82-C8F26EF5BEC1}" xr6:coauthVersionLast="47" xr6:coauthVersionMax="47" xr10:uidLastSave="{00000000-0000-0000-0000-000000000000}"/>
  <bookViews>
    <workbookView xWindow="-120" yWindow="-120" windowWidth="29040" windowHeight="15720" activeTab="1" xr2:uid="{11746E52-A96B-4E91-86A9-A395D8011DDA}"/>
  </bookViews>
  <sheets>
    <sheet name="Schedule" sheetId="1" r:id="rId1"/>
    <sheet name="Opportunity" sheetId="3" r:id="rId2"/>
    <sheet name="Completed_Projects" sheetId="4" r:id="rId3"/>
  </sheets>
  <definedNames>
    <definedName name="ExternalData_1" localSheetId="1" hidden="1">Opportunity!$A$5:$U$14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A2" i="4"/>
  <c r="E14" i="1"/>
  <c r="F14" i="1"/>
  <c r="G14" i="1"/>
  <c r="H14" i="1"/>
  <c r="I14" i="1"/>
  <c r="J14" i="1"/>
  <c r="K14" i="1"/>
  <c r="L14" i="1"/>
  <c r="M14" i="1"/>
  <c r="N14" i="1"/>
  <c r="N6" i="1"/>
  <c r="N7" i="1"/>
  <c r="N8" i="1"/>
  <c r="N9" i="1"/>
  <c r="N10" i="1"/>
  <c r="N11" i="1"/>
  <c r="N12" i="1"/>
  <c r="N13" i="1"/>
  <c r="M6" i="1"/>
  <c r="M7" i="1"/>
  <c r="M8" i="1"/>
  <c r="M9" i="1"/>
  <c r="M10" i="1"/>
  <c r="M11" i="1"/>
  <c r="M12" i="1"/>
  <c r="M13" i="1"/>
  <c r="L7" i="1"/>
  <c r="L8" i="1"/>
  <c r="L9" i="1"/>
  <c r="L10" i="1"/>
  <c r="L11" i="1"/>
  <c r="L12" i="1"/>
  <c r="L13" i="1"/>
  <c r="L6" i="1"/>
  <c r="K6" i="1"/>
  <c r="K7" i="1"/>
  <c r="K8" i="1"/>
  <c r="K9" i="1"/>
  <c r="K10" i="1"/>
  <c r="K11" i="1"/>
  <c r="K12" i="1"/>
  <c r="K13" i="1"/>
  <c r="J6" i="1"/>
  <c r="J7" i="1"/>
  <c r="J8" i="1"/>
  <c r="J9" i="1"/>
  <c r="J10" i="1"/>
  <c r="J11" i="1"/>
  <c r="J12" i="1"/>
  <c r="J13" i="1"/>
  <c r="I6" i="1"/>
  <c r="I7" i="1"/>
  <c r="I8" i="1"/>
  <c r="I9" i="1"/>
  <c r="I10" i="1"/>
  <c r="I11" i="1"/>
  <c r="I12" i="1"/>
  <c r="I13" i="1"/>
  <c r="H6" i="1"/>
  <c r="H7" i="1"/>
  <c r="H8" i="1"/>
  <c r="H9" i="1"/>
  <c r="H10" i="1"/>
  <c r="H11" i="1"/>
  <c r="H12" i="1"/>
  <c r="H13" i="1"/>
  <c r="G6" i="1"/>
  <c r="G7" i="1"/>
  <c r="G8" i="1"/>
  <c r="G9" i="1"/>
  <c r="G10" i="1"/>
  <c r="G11" i="1"/>
  <c r="G12" i="1"/>
  <c r="G13" i="1"/>
  <c r="F6" i="1"/>
  <c r="F7" i="1"/>
  <c r="F8" i="1"/>
  <c r="F9" i="1"/>
  <c r="F10" i="1"/>
  <c r="F11" i="1"/>
  <c r="F12" i="1"/>
  <c r="F13" i="1"/>
  <c r="E6" i="1"/>
  <c r="E7" i="1"/>
  <c r="E8" i="1"/>
  <c r="E9" i="1"/>
  <c r="E10" i="1"/>
  <c r="E11" i="1"/>
  <c r="E12" i="1"/>
  <c r="E13" i="1"/>
  <c r="A2" i="3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7870A-6DFC-45E3-8864-4A70D641336C}" keepAlive="1" name="Query - Opportunity" description="Connection to the 'Opportunity' query in the workbook." type="5" refreshedVersion="8" background="1" refreshOnLoad="1" saveData="1">
    <dbPr connection="Provider=Microsoft.Mashup.OleDb.1;Data Source=$Workbook$;Location=Opportunity;Extended Properties=&quot;&quot;" command="SELECT * FROM [Opportunity]"/>
  </connection>
</connections>
</file>

<file path=xl/sharedStrings.xml><?xml version="1.0" encoding="utf-8"?>
<sst xmlns="http://schemas.openxmlformats.org/spreadsheetml/2006/main" count="151" uniqueCount="74">
  <si>
    <t>Install Date</t>
  </si>
  <si>
    <t>Property</t>
  </si>
  <si>
    <t>Seminole Tribe of Florida - dba</t>
  </si>
  <si>
    <t>The Venetian Resort Las Vegas</t>
  </si>
  <si>
    <t>Sharkeys Casino</t>
  </si>
  <si>
    <t>Fontainebleau Las Vegas</t>
  </si>
  <si>
    <t>IGT TRM Projects At a Glance</t>
  </si>
  <si>
    <t>*Today Is*</t>
  </si>
  <si>
    <t>Emerald Queen Casino Tacoma</t>
  </si>
  <si>
    <t>Live! Casino and Hotel Philadelphia</t>
  </si>
  <si>
    <t>Muckleshoot Indian Bingo</t>
  </si>
  <si>
    <t>Harrah's Laughlin</t>
  </si>
  <si>
    <t>OPP</t>
  </si>
  <si>
    <t>OPP258075</t>
  </si>
  <si>
    <t>OPP260256</t>
  </si>
  <si>
    <t>OPP211920</t>
  </si>
  <si>
    <t>OPP259229</t>
  </si>
  <si>
    <t>OPP246395</t>
  </si>
  <si>
    <t>OPP265994</t>
  </si>
  <si>
    <t>OPP234857</t>
  </si>
  <si>
    <t>OPP251455</t>
  </si>
  <si>
    <t>West</t>
  </si>
  <si>
    <t>Completed</t>
  </si>
  <si>
    <t>East</t>
  </si>
  <si>
    <t>Started</t>
  </si>
  <si>
    <t>Peppers, Derek</t>
  </si>
  <si>
    <t>Aragon, Timothy</t>
  </si>
  <si>
    <t>Hampton, William</t>
  </si>
  <si>
    <t>Post Go Live RCA</t>
  </si>
  <si>
    <t>Deployment Plan Evaluation</t>
  </si>
  <si>
    <t>Sanity Check
Risk Assesment
Travel Planning
Server Verification</t>
  </si>
  <si>
    <t>Training
Deployment Plan Acceptance</t>
  </si>
  <si>
    <t>Project Planning
Software Order</t>
  </si>
  <si>
    <t>RA/Network Topology</t>
  </si>
  <si>
    <t>Requirements Gathering 
Tech Plan
Customer Documentation</t>
  </si>
  <si>
    <t>Internal/Exteranl Kickoff</t>
  </si>
  <si>
    <t>Scheduling
Customer Email Introduction</t>
  </si>
  <si>
    <t>PM Project Prep
Scheduling</t>
  </si>
  <si>
    <t>Licensing/Juristictional Approval</t>
  </si>
  <si>
    <t>Sales Engagement
Hardware/Peripherals
Signed SO &amp; Approval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</si>
  <si>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</si>
  <si>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</si>
  <si>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</si>
  <si>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</si>
  <si>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</si>
  <si>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</si>
  <si>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</si>
  <si>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</si>
  <si>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</si>
  <si>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</si>
  <si>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</si>
  <si>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Transition</t>
  </si>
  <si>
    <t>Carson Valley Inn - Tournament Manager</t>
  </si>
  <si>
    <t>Hard Rock Hollywood Tournament Mgr Install  41 EGMs</t>
  </si>
  <si>
    <t>CZR Harrah's Laughlin Tournament Manager Install</t>
  </si>
  <si>
    <t>Venetian Tournament Manager Upgrade</t>
  </si>
  <si>
    <t>Emerald Queen Tacoma - Tournament Manager Install</t>
  </si>
  <si>
    <t>Muckleshoot Tournament Manager Install</t>
  </si>
  <si>
    <t>Fontainebleau - Tournament Manager Install</t>
  </si>
  <si>
    <t>Philly Live Tournament Manager</t>
  </si>
  <si>
    <t>Account</t>
  </si>
  <si>
    <t>Go Live Date</t>
  </si>
  <si>
    <t>Days Till Install</t>
  </si>
  <si>
    <t>Progress</t>
  </si>
  <si>
    <t>Region</t>
  </si>
  <si>
    <t>Lead SE</t>
  </si>
  <si>
    <t>Project Identification and information</t>
  </si>
  <si>
    <t>Opp</t>
  </si>
  <si>
    <t>OPP252374</t>
  </si>
  <si>
    <t>Potawatomi Bingo Casino</t>
  </si>
  <si>
    <t>Potawatomi MKE- Tournament Manager Multisite Cleo Install</t>
  </si>
  <si>
    <t>Central</t>
  </si>
  <si>
    <t>IGT TRM Completed Projects (Historical)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</si>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</sst>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Lato"/>
      <family val="2"/>
    </font>
    <font>
      <sz val="12"/>
      <color theme="1"/>
      <name val="Lato"/>
      <family val="2"/>
    </font>
    <font>
      <b/>
      <sz val="12"/>
      <color theme="0"/>
      <name val="Lato"/>
      <family val="2"/>
    </font>
    <font>
      <b/>
      <sz val="26"/>
      <color theme="1"/>
      <name val="Lato"/>
      <family val="2"/>
    </font>
    <font>
      <b/>
      <sz val="12"/>
      <color theme="1"/>
      <name val="Lato"/>
      <family val="2"/>
    </font>
    <font>
      <sz val="11"/>
      <color rgb="FF181818"/>
      <name val="Lato"/>
      <family val="2"/>
    </font>
    <font>
      <sz val="8"/>
      <name val="Calibri"/>
      <family val="2"/>
      <scheme val="minor"/>
    </font>
    <font>
      <b/>
      <sz val="11"/>
      <color theme="1"/>
      <name val="Lato"/>
      <family val="2"/>
    </font>
    <font>
      <b/>
      <sz val="14"/>
      <color theme="1"/>
      <name val="Lato"/>
      <family val="2"/>
    </font>
    <font>
      <b/>
      <sz val="18"/>
      <color theme="0"/>
      <name val="Lato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8C8C8"/>
        <bgColor indexed="64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14" fontId="3" fillId="3" borderId="6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8" xfId="0" applyFont="1" applyBorder="1"/>
    <xf numFmtId="14" fontId="1" fillId="0" borderId="8" xfId="0" applyNumberFormat="1" applyFont="1" applyBorder="1"/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14" fontId="1" fillId="0" borderId="10" xfId="0" applyNumberFormat="1" applyFont="1" applyBorder="1"/>
    <xf numFmtId="14" fontId="1" fillId="0" borderId="14" xfId="0" applyNumberFormat="1" applyFont="1" applyBorder="1"/>
    <xf numFmtId="0" fontId="3" fillId="0" borderId="0" xfId="0" applyFont="1" applyAlignment="1">
      <alignment horizontal="center" vertical="center"/>
    </xf>
    <xf numFmtId="0" fontId="6" fillId="0" borderId="0" xfId="0" applyFont="1"/>
    <xf numFmtId="14" fontId="1" fillId="5" borderId="8" xfId="0" applyNumberFormat="1" applyFont="1" applyFill="1" applyBorder="1"/>
    <xf numFmtId="0" fontId="5" fillId="2" borderId="15" xfId="0" applyFont="1" applyFill="1" applyBorder="1" applyAlignment="1">
      <alignment horizontal="center" vertical="center" wrapText="1"/>
    </xf>
    <xf numFmtId="14" fontId="1" fillId="5" borderId="10" xfId="0" applyNumberFormat="1" applyFont="1" applyFill="1" applyBorder="1"/>
    <xf numFmtId="0" fontId="8" fillId="4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6" fillId="0" borderId="16" xfId="0" applyFont="1" applyBorder="1"/>
    <xf numFmtId="0" fontId="1" fillId="0" borderId="16" xfId="0" applyFont="1" applyBorder="1"/>
    <xf numFmtId="14" fontId="1" fillId="0" borderId="11" xfId="0" applyNumberFormat="1" applyFont="1" applyBorder="1"/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9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14" fontId="1" fillId="0" borderId="0" xfId="0" applyNumberFormat="1" applyFont="1"/>
    <xf numFmtId="0" fontId="1" fillId="6" borderId="0" xfId="0" applyFont="1" applyFill="1"/>
    <xf numFmtId="14" fontId="1" fillId="6" borderId="0" xfId="0" applyNumberFormat="1" applyFont="1" applyFill="1"/>
    <xf numFmtId="14" fontId="3" fillId="7" borderId="1" xfId="0" applyNumberFormat="1" applyFont="1" applyFill="1" applyBorder="1" applyAlignment="1">
      <alignment horizontal="center"/>
    </xf>
    <xf numFmtId="14" fontId="3" fillId="3" borderId="7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4" fontId="10" fillId="7" borderId="1" xfId="0" applyNumberFormat="1" applyFont="1" applyFill="1" applyBorder="1" applyAlignment="1">
      <alignment horizontal="center" vertical="center"/>
    </xf>
    <xf numFmtId="14" fontId="10" fillId="7" borderId="2" xfId="0" applyNumberFormat="1" applyFont="1" applyFill="1" applyBorder="1" applyAlignment="1">
      <alignment horizontal="center" vertical="center"/>
    </xf>
    <xf numFmtId="14" fontId="10" fillId="7" borderId="3" xfId="0" applyNumberFormat="1" applyFont="1" applyFill="1" applyBorder="1" applyAlignment="1">
      <alignment horizontal="center" vertical="center"/>
    </xf>
    <xf numFmtId="14" fontId="10" fillId="7" borderId="4" xfId="0" applyNumberFormat="1" applyFont="1" applyFill="1" applyBorder="1" applyAlignment="1">
      <alignment horizontal="center" vertical="center"/>
    </xf>
    <xf numFmtId="14" fontId="10" fillId="7" borderId="0" xfId="0" applyNumberFormat="1" applyFont="1" applyFill="1" applyAlignment="1">
      <alignment horizontal="center" vertical="center"/>
    </xf>
    <xf numFmtId="14" fontId="10" fillId="7" borderId="5" xfId="0" applyNumberFormat="1" applyFont="1" applyFill="1" applyBorder="1" applyAlignment="1">
      <alignment horizontal="center" vertical="center"/>
    </xf>
    <xf numFmtId="14" fontId="10" fillId="7" borderId="17" xfId="0" applyNumberFormat="1" applyFont="1" applyFill="1" applyBorder="1" applyAlignment="1">
      <alignment horizontal="center" vertical="center"/>
    </xf>
    <xf numFmtId="14" fontId="10" fillId="7" borderId="18" xfId="0" applyNumberFormat="1" applyFont="1" applyFill="1" applyBorder="1" applyAlignment="1">
      <alignment horizontal="center" vertical="center"/>
    </xf>
    <xf numFmtId="14" fontId="10" fillId="7" borderId="19" xfId="0" applyNumberFormat="1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4" fontId="3" fillId="7" borderId="2" xfId="0" applyNumberFormat="1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4" fontId="3" fillId="7" borderId="5" xfId="0" applyNumberFormat="1" applyFont="1" applyFill="1" applyBorder="1" applyAlignment="1">
      <alignment horizontal="center" vertical="center"/>
    </xf>
    <xf numFmtId="14" fontId="3" fillId="7" borderId="18" xfId="0" applyNumberFormat="1" applyFont="1" applyFill="1" applyBorder="1" applyAlignment="1">
      <alignment horizontal="center" vertical="center"/>
    </xf>
    <xf numFmtId="14" fontId="3" fillId="7" borderId="1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37"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name val="Lato"/>
        <family val="2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181818"/>
        <name val="Lato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3ECE6AA-4B52-41AC-9636-2180F19ECCEA}" autoFormatId="16" applyNumberFormats="0" applyBorderFormats="0" applyFontFormats="0" applyPatternFormats="0" applyAlignmentFormats="0" applyWidthHeightFormats="0">
  <queryTableRefresh nextId="93">
    <queryTableFields count="21">
      <queryTableField id="91" name="Opp" tableColumnId="9"/>
      <queryTableField id="79" name="Account" tableColumnId="2"/>
      <queryTableField id="21" name="Property" tableColumnId="21"/>
      <queryTableField id="80" name="Install Date" tableColumnId="4"/>
      <queryTableField id="81" name="Go Live Date" tableColumnId="5"/>
      <queryTableField id="77" name="Days till Install" tableColumnId="3"/>
      <queryTableField id="82" name="Progress" tableColumnId="6"/>
      <queryTableField id="83" name="Region" tableColumnId="7"/>
      <queryTableField id="84" name="Lead SE" tableColumnId="8"/>
      <queryTableField id="44" name="Sales Engagement_x000a_Hardware/Peripherals_x000a_Signed SO &amp; Approval" tableColumnId="23"/>
      <queryTableField id="45" name="Licensing/Juristictional Approval" tableColumnId="24"/>
      <queryTableField id="46" name="PM Project Prep_x000a_Scheduling" tableColumnId="25"/>
      <queryTableField id="47" name="Scheduling_x000a_Customer Email Introduction" tableColumnId="26"/>
      <queryTableField id="48" name="Internal/Exteranl Kickoff" tableColumnId="27"/>
      <queryTableField id="49" name="Requirements Gathering _x000a_Tech Plan_x000a_Customer Documentation" tableColumnId="28"/>
      <queryTableField id="50" name="RA/Network Topology" tableColumnId="29"/>
      <queryTableField id="51" name="Project Planning_x000a_Software Order" tableColumnId="30"/>
      <queryTableField id="52" name="Training_x000a_Deployment Plan Acceptance" tableColumnId="31"/>
      <queryTableField id="53" name="Sanity Check_x000a_Risk Assesment_x000a_Travel Planning_x000a_Server Verification" tableColumnId="32"/>
      <queryTableField id="54" name="Deployment Plan Evaluation" tableColumnId="33"/>
      <queryTableField id="55" name="Post Go Live RCA" tableColumnId="3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E56281-85E1-41E2-96A9-5C67438C433C}" name="Master" displayName="Master" ref="A5:O14" totalsRowShown="0" headerRowDxfId="636" dataDxfId="634" headerRowBorderDxfId="635" tableBorderDxfId="633" totalsRowBorderDxfId="632">
  <autoFilter ref="A5:O14" xr:uid="{BEE56281-85E1-41E2-96A9-5C67438C433C}"/>
  <tableColumns count="15">
    <tableColumn id="8" xr3:uid="{FE5C1142-AEDF-4D48-AB3C-C1C98744836B}" name="OPP" dataDxfId="631"/>
    <tableColumn id="1" xr3:uid="{D0B3AFFF-FBD7-464D-9C44-663F03426B6F}" name="Property" dataDxfId="630"/>
    <tableColumn id="2" xr3:uid="{0B57C647-B58E-4DD3-A830-9120D448480F}" name="Install Date" dataDxfId="629"/>
    <tableColumn id="3" xr3:uid="{6A143E97-388C-4BFA-BA61-B4ADC680707A}" name="Sales Engagement_x000a_Hardware/Peripherals_x000a_Signed SO &amp; Approval" dataDxfId="615">
      <calculatedColumnFormula>IF(ISBLANK(Opportunity[[#This Row],[Go Live Date]]), "", Opportunity[[#This Row],[Go Live Date]] - 84)</calculatedColumnFormula>
    </tableColumn>
    <tableColumn id="4" xr3:uid="{7C0CA7A5-59F0-4DA4-A69D-50536F7E2097}" name="Licensing/Juristictional Approval" dataDxfId="628">
      <calculatedColumnFormula>IF(ISBLANK(C6), "", C6 - 77)</calculatedColumnFormula>
    </tableColumn>
    <tableColumn id="5" xr3:uid="{566BE878-6132-41FD-A95F-A9C5D21477ED}" name="PM Project Prep_x000a_Scheduling" dataDxfId="627">
      <calculatedColumnFormula>IF(ISBLANK(C6), "", C6 - 70)</calculatedColumnFormula>
    </tableColumn>
    <tableColumn id="6" xr3:uid="{E7EF3B5A-3D8D-4430-851B-2ECD094DEC73}" name="Scheduling_x000a_Customer Email Introduction" dataDxfId="626">
      <calculatedColumnFormula>IF(ISBLANK(C6), "", C6 - 63)</calculatedColumnFormula>
    </tableColumn>
    <tableColumn id="7" xr3:uid="{FD893515-8D25-4908-8FBA-56CBF1EF2C90}" name="Internal/Exteranl Kickoff" dataDxfId="625">
      <calculatedColumnFormula>IF(ISBLANK(C6), "", C6 - 56)</calculatedColumnFormula>
    </tableColumn>
    <tableColumn id="9" xr3:uid="{754146B7-4DAB-4D2B-8A72-DF8B01065824}" name="Requirements Gathering _x000a_Tech Plan_x000a_Customer Documentation" dataDxfId="624">
      <calculatedColumnFormula>IF(ISBLANK(C6), "", C6 - 49)</calculatedColumnFormula>
    </tableColumn>
    <tableColumn id="10" xr3:uid="{70F3A484-4DF6-4ACC-85DA-FCE2A3A1AAA5}" name="RA/Network Topology" dataDxfId="623">
      <calculatedColumnFormula>IF(ISBLANK(C6), "", C6 - 42)</calculatedColumnFormula>
    </tableColumn>
    <tableColumn id="11" xr3:uid="{7215B55E-92EC-47A3-8BFD-ECAA0CAFDA6D}" name="Project Planning_x000a_Software Order" dataDxfId="622">
      <calculatedColumnFormula>IF(ISBLANK(C6), "", C6 - 35)</calculatedColumnFormula>
    </tableColumn>
    <tableColumn id="12" xr3:uid="{F95FB25A-78BE-4212-A832-A4AA35CED3FE}" name="Training_x000a_Deployment Plan Acceptance" dataDxfId="621">
      <calculatedColumnFormula>IF(ISBLANK(C6), "", C6 - 28)</calculatedColumnFormula>
    </tableColumn>
    <tableColumn id="13" xr3:uid="{C0A422F4-331E-4FF9-AE84-2BCB6116B873}" name="Sanity Check_x000a_Risk Assesment_x000a_Travel Planning_x000a_Server Verification" dataDxfId="620">
      <calculatedColumnFormula>IF(ISBLANK(C6), "", C6 - 21)</calculatedColumnFormula>
    </tableColumn>
    <tableColumn id="14" xr3:uid="{E096D8DD-F0D5-436A-8DF0-0634A5FD2325}" name="Deployment Plan Evaluation" dataDxfId="619">
      <calculatedColumnFormula>IF(ISBLANK(C6), "", C6 - 14)</calculatedColumnFormula>
    </tableColumn>
    <tableColumn id="16" xr3:uid="{E58AAA85-97E2-4BF7-B05A-2A7426B22726}" name="Post Go Live RCA" dataDxfId="6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C81DB6-DD77-493F-8E78-1F507F86D380}" name="Opportunity" displayName="Opportunity" ref="A5:U14" tableType="queryTable" totalsRowShown="0" headerRowDxfId="617" dataDxfId="616">
  <autoFilter ref="A5:U14" xr:uid="{7FC81DB6-DD77-493F-8E78-1F507F86D380}"/>
  <tableColumns count="21">
    <tableColumn id="9" xr3:uid="{295DB513-E3BF-443D-B7AB-C2B5AA70713B}" uniqueName="9" name="Opp" queryTableFieldId="91" dataDxfId="614"/>
    <tableColumn id="2" xr3:uid="{67589821-0A58-4D41-A215-8C450EC9D215}" uniqueName="2" name="Account" queryTableFieldId="79" dataDxfId="613"/>
    <tableColumn id="21" xr3:uid="{4BC7BE7D-0747-44E2-AF56-5B8692C9F90F}" uniqueName="21" name="Property" queryTableFieldId="21" dataDxfId="612"/>
    <tableColumn id="4" xr3:uid="{76F0B908-38BF-494C-BEC4-BD2F87897C79}" uniqueName="4" name="Install Date" queryTableFieldId="80" dataDxfId="611"/>
    <tableColumn id="5" xr3:uid="{3DB8A0A1-AD15-42B4-B93F-8C8B7CE020E6}" uniqueName="5" name="Go Live Date" queryTableFieldId="81" dataDxfId="610"/>
    <tableColumn id="3" xr3:uid="{48CC9FF1-67A5-4E07-9A66-341F3F9F4C92}" uniqueName="3" name="Days Till Install" queryTableFieldId="77" dataDxfId="609"/>
    <tableColumn id="6" xr3:uid="{C91110FA-BC11-4F24-8E41-B463AC3DE868}" uniqueName="6" name="Progress" queryTableFieldId="82" dataDxfId="608"/>
    <tableColumn id="7" xr3:uid="{7189F2FC-DDBA-4701-BF9E-184F23E652F5}" uniqueName="7" name="Region" queryTableFieldId="83" dataDxfId="607"/>
    <tableColumn id="8" xr3:uid="{A2B24F52-00F5-4B80-BA82-7DA41A01095E}" uniqueName="8" name="Lead SE" queryTableFieldId="84" dataDxfId="606"/>
    <tableColumn id="23" xr3:uid="{0EAFA3EE-2520-4452-90F9-75C8B2DE5708}" uniqueName="23" name="Sales Engagement_x000a_Hardware/Peripherals_x000a_Signed SO &amp; Approval" queryTableFieldId="44" dataDxfId="605"/>
    <tableColumn id="24" xr3:uid="{E822DCF6-DC42-46F6-8416-BEB0F1F4E070}" uniqueName="24" name="Licensing/Juristictional Approval" queryTableFieldId="45" dataDxfId="604"/>
    <tableColumn id="25" xr3:uid="{690FDC2F-B3D7-445B-B297-18146026D8AD}" uniqueName="25" name="PM Project Prep_x000a_Scheduling" queryTableFieldId="46" dataDxfId="603"/>
    <tableColumn id="26" xr3:uid="{3E01A266-1822-4684-823E-3DFD99E08387}" uniqueName="26" name="Scheduling_x000a_Customer Email Introduction" queryTableFieldId="47" dataDxfId="602"/>
    <tableColumn id="27" xr3:uid="{E3FB4019-213D-48EA-BF92-0666E79AA0A0}" uniqueName="27" name="Internal/Exteranl Kickoff" queryTableFieldId="48" dataDxfId="601"/>
    <tableColumn id="28" xr3:uid="{F265B61A-BB89-43BE-B5CC-A2820BF3A548}" uniqueName="28" name="Requirements Gathering _x000a_Tech Plan_x000a_Customer Documentation" queryTableFieldId="49" dataDxfId="600"/>
    <tableColumn id="29" xr3:uid="{83D71AE7-69E8-458B-8BF5-2D8C8FBB9F44}" uniqueName="29" name="RA/Network Topology" queryTableFieldId="50" dataDxfId="599"/>
    <tableColumn id="30" xr3:uid="{427A6149-A5AB-40A8-9F68-C6A7A8B358A5}" uniqueName="30" name="Project Planning_x000a_Software Order" queryTableFieldId="51" dataDxfId="598"/>
    <tableColumn id="31" xr3:uid="{8F35D6A2-F680-4629-8925-9262335A8DAC}" uniqueName="31" name="Training_x000a_Deployment Plan Acceptance" queryTableFieldId="52" dataDxfId="597"/>
    <tableColumn id="32" xr3:uid="{93088491-0163-4600-9645-13FA9FDEAA0B}" uniqueName="32" name="Sanity Check_x000a_Risk Assesment_x000a_Travel Planning_x000a_Server Verification" queryTableFieldId="53" dataDxfId="596"/>
    <tableColumn id="33" xr3:uid="{C8C6C293-1FC9-4401-B9B4-D07ED0EFA5ED}" uniqueName="33" name="Deployment Plan Evaluation" queryTableFieldId="54" dataDxfId="595"/>
    <tableColumn id="34" xr3:uid="{00577992-5B94-467A-A797-C4127E0F8AD2}" uniqueName="34" name="Post Go Live RCA" queryTableFieldId="55" dataDxfId="59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B7F4-BB3E-43D3-AE33-7394D427BAF9}">
  <sheetPr codeName="Sheet1"/>
  <dimension ref="A1:O14"/>
  <sheetViews>
    <sheetView zoomScale="70" zoomScaleNormal="70" workbookViewId="0">
      <selection activeCell="O14" sqref="O14"/>
    </sheetView>
  </sheetViews>
  <sheetFormatPr defaultRowHeight="14.25" x14ac:dyDescent="0.2"/>
  <cols>
    <col min="1" max="1" width="21" style="1" customWidth="1"/>
    <col min="2" max="2" width="35.28515625" style="1" bestFit="1" customWidth="1"/>
    <col min="3" max="3" width="17" style="1" customWidth="1"/>
    <col min="4" max="4" width="21.5703125" style="1" bestFit="1" customWidth="1"/>
    <col min="5" max="5" width="37.5703125" style="1" bestFit="1" customWidth="1"/>
    <col min="6" max="6" width="25.140625" style="1" bestFit="1" customWidth="1"/>
    <col min="7" max="7" width="18.42578125" style="1" bestFit="1" customWidth="1"/>
    <col min="8" max="8" width="24.42578125" style="1" customWidth="1"/>
    <col min="9" max="9" width="17.85546875" style="1" customWidth="1"/>
    <col min="10" max="10" width="12.7109375" style="1" customWidth="1"/>
    <col min="11" max="12" width="12" style="1" bestFit="1" customWidth="1"/>
    <col min="13" max="14" width="13.42578125" style="1" bestFit="1" customWidth="1"/>
    <col min="15" max="15" width="11.7109375" style="1" bestFit="1" customWidth="1"/>
    <col min="16" max="16384" width="9.140625" style="1"/>
  </cols>
  <sheetData>
    <row r="1" spans="1:15" ht="15" customHeight="1" x14ac:dyDescent="0.2">
      <c r="A1" s="3" t="s">
        <v>7</v>
      </c>
      <c r="B1" s="35" t="s">
        <v>6</v>
      </c>
      <c r="C1" s="36"/>
      <c r="D1" s="36"/>
      <c r="E1" s="36"/>
      <c r="F1" s="36"/>
      <c r="G1" s="36"/>
      <c r="H1" s="36"/>
      <c r="I1" s="37"/>
      <c r="J1" s="33"/>
    </row>
    <row r="2" spans="1:15" ht="14.25" customHeight="1" x14ac:dyDescent="0.2">
      <c r="A2" s="33">
        <f ca="1" xml:space="preserve"> TODAY()</f>
        <v>45429</v>
      </c>
      <c r="B2" s="38"/>
      <c r="C2" s="39"/>
      <c r="D2" s="39"/>
      <c r="E2" s="39"/>
      <c r="F2" s="39"/>
      <c r="G2" s="39"/>
      <c r="H2" s="39"/>
      <c r="I2" s="40"/>
      <c r="J2" s="34"/>
    </row>
    <row r="3" spans="1:15" ht="15" customHeight="1" thickBot="1" x14ac:dyDescent="0.25">
      <c r="A3" s="34"/>
      <c r="B3" s="38"/>
      <c r="C3" s="39"/>
      <c r="D3" s="39"/>
      <c r="E3" s="39"/>
      <c r="F3" s="39"/>
      <c r="G3" s="39"/>
      <c r="H3" s="39"/>
      <c r="I3" s="40"/>
      <c r="J3" s="10"/>
    </row>
    <row r="4" spans="1:15" s="2" customFormat="1" ht="15.75" thickBot="1" x14ac:dyDescent="0.25">
      <c r="A4" s="13"/>
      <c r="B4" s="8"/>
      <c r="C4" s="9"/>
      <c r="D4" s="16" t="s">
        <v>50</v>
      </c>
      <c r="E4" s="9" t="s">
        <v>49</v>
      </c>
      <c r="F4" s="9" t="s">
        <v>48</v>
      </c>
      <c r="G4" s="9" t="s">
        <v>47</v>
      </c>
      <c r="H4" s="9" t="s">
        <v>46</v>
      </c>
      <c r="I4" s="9" t="s">
        <v>45</v>
      </c>
      <c r="J4" s="9" t="s">
        <v>44</v>
      </c>
      <c r="K4" s="9" t="s">
        <v>43</v>
      </c>
      <c r="L4" s="9" t="s">
        <v>42</v>
      </c>
      <c r="M4" s="9" t="s">
        <v>41</v>
      </c>
      <c r="N4" s="9" t="s">
        <v>40</v>
      </c>
      <c r="O4" s="9" t="s">
        <v>51</v>
      </c>
    </row>
    <row r="5" spans="1:15" ht="114" x14ac:dyDescent="0.2">
      <c r="A5" s="4" t="s">
        <v>12</v>
      </c>
      <c r="B5" s="5" t="s">
        <v>1</v>
      </c>
      <c r="C5" s="5" t="s">
        <v>0</v>
      </c>
      <c r="D5" s="18" t="s">
        <v>39</v>
      </c>
      <c r="E5" s="18" t="s">
        <v>38</v>
      </c>
      <c r="F5" s="18" t="s">
        <v>37</v>
      </c>
      <c r="G5" s="18" t="s">
        <v>36</v>
      </c>
      <c r="H5" s="18" t="s">
        <v>35</v>
      </c>
      <c r="I5" s="18" t="s">
        <v>34</v>
      </c>
      <c r="J5" s="18" t="s">
        <v>33</v>
      </c>
      <c r="K5" s="18" t="s">
        <v>32</v>
      </c>
      <c r="L5" s="18" t="s">
        <v>31</v>
      </c>
      <c r="M5" s="18" t="s">
        <v>30</v>
      </c>
      <c r="N5" s="19" t="s">
        <v>29</v>
      </c>
      <c r="O5" s="19" t="s">
        <v>28</v>
      </c>
    </row>
    <row r="6" spans="1:15" x14ac:dyDescent="0.2">
      <c r="A6" s="14" t="s">
        <v>13</v>
      </c>
      <c r="B6" s="6" t="s">
        <v>2</v>
      </c>
      <c r="C6" s="7">
        <v>45376</v>
      </c>
      <c r="D6" s="7">
        <f>IF(ISBLANK(Opportunity[[#This Row],[Go Live Date]]), "", Opportunity[[#This Row],[Go Live Date]] - 84)</f>
        <v>44245</v>
      </c>
      <c r="E6" s="7">
        <f t="shared" ref="E6:E13" si="0">IF(ISBLANK(C6), "", C6 - 77)</f>
        <v>45299</v>
      </c>
      <c r="F6" s="7">
        <f t="shared" ref="F6:F13" si="1">IF(ISBLANK(C6), "", C6 - 70)</f>
        <v>45306</v>
      </c>
      <c r="G6" s="7">
        <f t="shared" ref="G6:G13" si="2">IF(ISBLANK(C6), "", C6 - 63)</f>
        <v>45313</v>
      </c>
      <c r="H6" s="7">
        <f t="shared" ref="H6:H13" si="3">IF(ISBLANK(C6), "", C6 - 56)</f>
        <v>45320</v>
      </c>
      <c r="I6" s="22">
        <f t="shared" ref="I6:I13" si="4">IF(ISBLANK(C6), "", C6 - 49)</f>
        <v>45327</v>
      </c>
      <c r="J6" s="11">
        <f t="shared" ref="J6:J13" si="5">IF(ISBLANK(C6), "", C6 - 42)</f>
        <v>45334</v>
      </c>
      <c r="K6" s="17">
        <f t="shared" ref="K6:K13" si="6">IF(ISBLANK(C6), "", C6 - 35)</f>
        <v>45341</v>
      </c>
      <c r="L6" s="17">
        <f>IF(ISBLANK(C6), "", C6 - 28)</f>
        <v>45348</v>
      </c>
      <c r="M6" s="17">
        <f t="shared" ref="M6:M13" si="7">IF(ISBLANK(C6), "", C6 - 21)</f>
        <v>45355</v>
      </c>
      <c r="N6" s="17">
        <f t="shared" ref="N6:N13" si="8">IF(ISBLANK(C6), "", C6 - 14)</f>
        <v>45362</v>
      </c>
      <c r="O6" s="17"/>
    </row>
    <row r="7" spans="1:15" x14ac:dyDescent="0.2">
      <c r="A7" s="14" t="s">
        <v>14</v>
      </c>
      <c r="B7" s="6" t="s">
        <v>3</v>
      </c>
      <c r="C7" s="29">
        <v>45373</v>
      </c>
      <c r="D7" s="7">
        <f>IF(ISBLANK(Opportunity[[#This Row],[Go Live Date]]), "", Opportunity[[#This Row],[Go Live Date]] - 84)</f>
        <v>45296</v>
      </c>
      <c r="E7" s="7">
        <f t="shared" si="0"/>
        <v>45296</v>
      </c>
      <c r="F7" s="7">
        <f t="shared" si="1"/>
        <v>45303</v>
      </c>
      <c r="G7" s="7">
        <f t="shared" si="2"/>
        <v>45310</v>
      </c>
      <c r="H7" s="7">
        <f t="shared" si="3"/>
        <v>45317</v>
      </c>
      <c r="I7" s="22">
        <f t="shared" si="4"/>
        <v>45324</v>
      </c>
      <c r="J7" s="7">
        <f t="shared" si="5"/>
        <v>45331</v>
      </c>
      <c r="K7" s="7">
        <f t="shared" si="6"/>
        <v>45338</v>
      </c>
      <c r="L7" s="17">
        <f t="shared" ref="L7:L13" si="9">IF(ISBLANK(C7), "", C7 - 28)</f>
        <v>45345</v>
      </c>
      <c r="M7" s="7">
        <f t="shared" si="7"/>
        <v>45352</v>
      </c>
      <c r="N7" s="7">
        <f t="shared" si="8"/>
        <v>45359</v>
      </c>
      <c r="O7" s="7"/>
    </row>
    <row r="8" spans="1:15" x14ac:dyDescent="0.2">
      <c r="A8" s="14" t="s">
        <v>15</v>
      </c>
      <c r="B8" s="6" t="s">
        <v>4</v>
      </c>
      <c r="C8" s="7">
        <v>44319</v>
      </c>
      <c r="D8" s="7">
        <f>IF(ISBLANK(Opportunity[[#This Row],[Go Live Date]]), "", Opportunity[[#This Row],[Go Live Date]] - 84)</f>
        <v>45317</v>
      </c>
      <c r="E8" s="7">
        <f t="shared" si="0"/>
        <v>44242</v>
      </c>
      <c r="F8" s="7">
        <f t="shared" si="1"/>
        <v>44249</v>
      </c>
      <c r="G8" s="7">
        <f t="shared" si="2"/>
        <v>44256</v>
      </c>
      <c r="H8" s="7">
        <f t="shared" si="3"/>
        <v>44263</v>
      </c>
      <c r="I8" s="22">
        <f t="shared" si="4"/>
        <v>44270</v>
      </c>
      <c r="J8" s="7">
        <f t="shared" si="5"/>
        <v>44277</v>
      </c>
      <c r="K8" s="15">
        <f t="shared" si="6"/>
        <v>44284</v>
      </c>
      <c r="L8" s="17">
        <f t="shared" si="9"/>
        <v>44291</v>
      </c>
      <c r="M8" s="15">
        <f t="shared" si="7"/>
        <v>44298</v>
      </c>
      <c r="N8" s="15">
        <f t="shared" si="8"/>
        <v>44305</v>
      </c>
      <c r="O8" s="15"/>
    </row>
    <row r="9" spans="1:15" x14ac:dyDescent="0.2">
      <c r="A9" s="14" t="s">
        <v>16</v>
      </c>
      <c r="B9" s="6" t="s">
        <v>5</v>
      </c>
      <c r="C9" s="7">
        <v>45411</v>
      </c>
      <c r="D9" s="7">
        <f>IF(ISBLANK(Opportunity[[#This Row],[Go Live Date]]), "", Opportunity[[#This Row],[Go Live Date]] - 84)</f>
        <v>45287</v>
      </c>
      <c r="E9" s="7">
        <f t="shared" si="0"/>
        <v>45334</v>
      </c>
      <c r="F9" s="7">
        <f t="shared" si="1"/>
        <v>45341</v>
      </c>
      <c r="G9" s="7">
        <f t="shared" si="2"/>
        <v>45348</v>
      </c>
      <c r="H9" s="7">
        <f t="shared" si="3"/>
        <v>45355</v>
      </c>
      <c r="I9" s="22">
        <f t="shared" si="4"/>
        <v>45362</v>
      </c>
      <c r="J9" s="7">
        <f t="shared" si="5"/>
        <v>45369</v>
      </c>
      <c r="K9" s="7">
        <f t="shared" si="6"/>
        <v>45376</v>
      </c>
      <c r="L9" s="17">
        <f t="shared" si="9"/>
        <v>45383</v>
      </c>
      <c r="M9" s="7">
        <f t="shared" si="7"/>
        <v>45390</v>
      </c>
      <c r="N9" s="7">
        <f t="shared" si="8"/>
        <v>45397</v>
      </c>
      <c r="O9" s="7"/>
    </row>
    <row r="10" spans="1:15" x14ac:dyDescent="0.2">
      <c r="A10" s="14" t="s">
        <v>17</v>
      </c>
      <c r="B10" s="6" t="s">
        <v>8</v>
      </c>
      <c r="C10" s="7">
        <v>45306</v>
      </c>
      <c r="D10" s="7">
        <f>IF(ISBLANK(Opportunity[[#This Row],[Go Live Date]]), "", Opportunity[[#This Row],[Go Live Date]] - 84)</f>
        <v>45226</v>
      </c>
      <c r="E10" s="7">
        <f t="shared" si="0"/>
        <v>45229</v>
      </c>
      <c r="F10" s="7">
        <f t="shared" si="1"/>
        <v>45236</v>
      </c>
      <c r="G10" s="7">
        <f t="shared" si="2"/>
        <v>45243</v>
      </c>
      <c r="H10" s="7">
        <f t="shared" si="3"/>
        <v>45250</v>
      </c>
      <c r="I10" s="22">
        <f t="shared" si="4"/>
        <v>45257</v>
      </c>
      <c r="J10" s="7">
        <f t="shared" si="5"/>
        <v>45264</v>
      </c>
      <c r="K10" s="15">
        <f t="shared" si="6"/>
        <v>45271</v>
      </c>
      <c r="L10" s="17">
        <f t="shared" si="9"/>
        <v>45278</v>
      </c>
      <c r="M10" s="15">
        <f t="shared" si="7"/>
        <v>45285</v>
      </c>
      <c r="N10" s="15">
        <f t="shared" si="8"/>
        <v>45292</v>
      </c>
      <c r="O10" s="15"/>
    </row>
    <row r="11" spans="1:15" x14ac:dyDescent="0.2">
      <c r="A11" s="14" t="s">
        <v>19</v>
      </c>
      <c r="B11" s="6" t="s">
        <v>11</v>
      </c>
      <c r="C11" s="29">
        <v>45401</v>
      </c>
      <c r="D11" s="7" t="str">
        <f>IF(ISBLANK(Opportunity[[#This Row],[Go Live Date]]), "", Opportunity[[#This Row],[Go Live Date]] - 84)</f>
        <v/>
      </c>
      <c r="E11" s="7">
        <f t="shared" si="0"/>
        <v>45324</v>
      </c>
      <c r="F11" s="7">
        <f t="shared" si="1"/>
        <v>45331</v>
      </c>
      <c r="G11" s="7">
        <f t="shared" si="2"/>
        <v>45338</v>
      </c>
      <c r="H11" s="7">
        <f t="shared" si="3"/>
        <v>45345</v>
      </c>
      <c r="I11" s="22">
        <f t="shared" si="4"/>
        <v>45352</v>
      </c>
      <c r="J11" s="7">
        <f t="shared" si="5"/>
        <v>45359</v>
      </c>
      <c r="K11" s="15">
        <f t="shared" si="6"/>
        <v>45366</v>
      </c>
      <c r="L11" s="17">
        <f t="shared" si="9"/>
        <v>45373</v>
      </c>
      <c r="M11" s="15">
        <f t="shared" si="7"/>
        <v>45380</v>
      </c>
      <c r="N11" s="15">
        <f t="shared" si="8"/>
        <v>45387</v>
      </c>
      <c r="O11" s="15"/>
    </row>
    <row r="12" spans="1:15" x14ac:dyDescent="0.2">
      <c r="A12" s="14" t="s">
        <v>20</v>
      </c>
      <c r="B12" s="6" t="s">
        <v>10</v>
      </c>
      <c r="C12" s="7">
        <v>45519</v>
      </c>
      <c r="D12" s="7">
        <f>IF(ISBLANK(Opportunity[[#This Row],[Go Live Date]]), "", Opportunity[[#This Row],[Go Live Date]] - 84)</f>
        <v>45331</v>
      </c>
      <c r="E12" s="7">
        <f t="shared" si="0"/>
        <v>45442</v>
      </c>
      <c r="F12" s="7">
        <f t="shared" si="1"/>
        <v>45449</v>
      </c>
      <c r="G12" s="7">
        <f t="shared" si="2"/>
        <v>45456</v>
      </c>
      <c r="H12" s="7">
        <f t="shared" si="3"/>
        <v>45463</v>
      </c>
      <c r="I12" s="22">
        <f t="shared" si="4"/>
        <v>45470</v>
      </c>
      <c r="J12" s="12">
        <f t="shared" si="5"/>
        <v>45477</v>
      </c>
      <c r="K12" s="12">
        <f t="shared" si="6"/>
        <v>45484</v>
      </c>
      <c r="L12" s="17">
        <f t="shared" si="9"/>
        <v>45491</v>
      </c>
      <c r="M12" s="12">
        <f t="shared" si="7"/>
        <v>45498</v>
      </c>
      <c r="N12" s="12">
        <f t="shared" si="8"/>
        <v>45505</v>
      </c>
      <c r="O12" s="12"/>
    </row>
    <row r="13" spans="1:15" x14ac:dyDescent="0.2">
      <c r="A13" s="20" t="s">
        <v>18</v>
      </c>
      <c r="B13" s="21" t="s">
        <v>9</v>
      </c>
      <c r="C13" s="7">
        <v>45471</v>
      </c>
      <c r="D13" s="7">
        <f>IF(ISBLANK(Opportunity[[#This Row],[Go Live Date]]), "", Opportunity[[#This Row],[Go Live Date]] - 84)</f>
        <v>45436</v>
      </c>
      <c r="E13" s="7">
        <f t="shared" si="0"/>
        <v>45394</v>
      </c>
      <c r="F13" s="7">
        <f t="shared" si="1"/>
        <v>45401</v>
      </c>
      <c r="G13" s="7">
        <f t="shared" si="2"/>
        <v>45408</v>
      </c>
      <c r="H13" s="7">
        <f t="shared" si="3"/>
        <v>45415</v>
      </c>
      <c r="I13" s="22">
        <f t="shared" si="4"/>
        <v>45422</v>
      </c>
      <c r="J13" s="7">
        <f t="shared" si="5"/>
        <v>45429</v>
      </c>
      <c r="K13" s="7">
        <f t="shared" si="6"/>
        <v>45436</v>
      </c>
      <c r="L13" s="17">
        <f t="shared" si="9"/>
        <v>45443</v>
      </c>
      <c r="M13" s="7">
        <f t="shared" si="7"/>
        <v>45450</v>
      </c>
      <c r="N13" s="7">
        <f t="shared" si="8"/>
        <v>45457</v>
      </c>
      <c r="O13" s="7"/>
    </row>
    <row r="14" spans="1:15" x14ac:dyDescent="0.2">
      <c r="A14" s="20" t="s">
        <v>68</v>
      </c>
      <c r="B14" s="21" t="s">
        <v>69</v>
      </c>
      <c r="C14" s="7">
        <v>45473</v>
      </c>
      <c r="D14" s="7">
        <f>IF(ISBLANK(Opportunity[[#This Row],[Go Live Date]]), "", Opportunity[[#This Row],[Go Live Date]] - 84)</f>
        <v>45409</v>
      </c>
      <c r="E14" s="7">
        <f>IF(ISBLANK(C14), "", C14 - 77)</f>
        <v>45396</v>
      </c>
      <c r="F14" s="7">
        <f>IF(ISBLANK(C14), "", C14 - 70)</f>
        <v>45403</v>
      </c>
      <c r="G14" s="7">
        <f>IF(ISBLANK(C14), "", C14 - 63)</f>
        <v>45410</v>
      </c>
      <c r="H14" s="7">
        <f>IF(ISBLANK(C14), "", C14 - 56)</f>
        <v>45417</v>
      </c>
      <c r="I14" s="7">
        <f>IF(ISBLANK(C14), "", C14 - 49)</f>
        <v>45424</v>
      </c>
      <c r="J14" s="7">
        <f>IF(ISBLANK(C14), "", C14 - 42)</f>
        <v>45431</v>
      </c>
      <c r="K14" s="7">
        <f>IF(ISBLANK(C14), "", C14 - 35)</f>
        <v>45438</v>
      </c>
      <c r="L14" s="15">
        <f>IF(ISBLANK(C14), "", C14 - 28)</f>
        <v>45445</v>
      </c>
      <c r="M14" s="7">
        <f>IF(ISBLANK(C14), "", C14 - 21)</f>
        <v>45452</v>
      </c>
      <c r="N14" s="7">
        <f>IF(ISBLANK(C14), "", C14 - 14)</f>
        <v>45459</v>
      </c>
      <c r="O14" s="7"/>
    </row>
  </sheetData>
  <mergeCells count="3">
    <mergeCell ref="A2:A3"/>
    <mergeCell ref="B1:I3"/>
    <mergeCell ref="J1:J2"/>
  </mergeCells>
  <conditionalFormatting sqref="D6:D14">
    <cfRule type="expression" dxfId="578" priority="19">
      <formula>$D6-TODAY()&gt;40</formula>
    </cfRule>
    <cfRule type="expression" dxfId="577" priority="20">
      <formula>AND($D6-TODAY()&gt;=30, $D6-TODAY()&lt;=40)</formula>
    </cfRule>
    <cfRule type="expression" dxfId="576" priority="21">
      <formula>AND($D6&lt;&gt;"", $D6-TODAY()&lt;30)</formula>
    </cfRule>
  </conditionalFormatting>
  <conditionalFormatting sqref="E6:E14 G6:H14">
    <cfRule type="expression" dxfId="575" priority="16">
      <formula>AND($D6&lt;&gt;"", $D6-TODAY()&lt;30)</formula>
    </cfRule>
    <cfRule type="expression" dxfId="574" priority="17">
      <formula>AND($D6-TODAY()&gt;=30, $D6-TODAY()&lt;=40)</formula>
    </cfRule>
    <cfRule type="expression" dxfId="573" priority="18">
      <formula>$D6-TODAY()&gt;40</formula>
    </cfRule>
  </conditionalFormatting>
  <conditionalFormatting sqref="E6:F14">
    <cfRule type="expression" dxfId="572" priority="14">
      <formula>AND($D6-TODAY()&gt;=30, $D6-TODAY()&lt;=40)</formula>
    </cfRule>
  </conditionalFormatting>
  <conditionalFormatting sqref="F6:F14">
    <cfRule type="expression" dxfId="571" priority="13">
      <formula>AND($D6&lt;&gt;"", $D6-TODAY()&lt;30)</formula>
    </cfRule>
    <cfRule type="expression" dxfId="570" priority="15">
      <formula>$D6-TODAY()&gt;40</formula>
    </cfRule>
  </conditionalFormatting>
  <conditionalFormatting sqref="M6:M14">
    <cfRule type="expression" dxfId="569" priority="4">
      <formula>$E6-TODAY()&gt;40</formula>
    </cfRule>
    <cfRule type="expression" dxfId="568" priority="5">
      <formula>AND($E6-TODAY()&gt;=30, $E6-TODAY()&lt;=40)</formula>
    </cfRule>
    <cfRule type="expression" dxfId="567" priority="6">
      <formula>AND($E6&lt;&gt;"", $E6-TODAY()&lt;30)</formula>
    </cfRule>
  </conditionalFormatting>
  <conditionalFormatting sqref="N6:N14">
    <cfRule type="expression" dxfId="566" priority="1">
      <formula>AND($E6&lt;&gt;"", $E6-TODAY()&lt;30)</formula>
    </cfRule>
    <cfRule type="expression" dxfId="565" priority="2">
      <formula>AND($E6-TODAY()&gt;=30, $E6-TODAY()&lt;=40)</formula>
    </cfRule>
    <cfRule type="expression" dxfId="564" priority="3">
      <formula>$E6-TODAY()&gt;40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CF80A-D851-464A-BD6D-DF55A088FBF5}">
  <sheetPr codeName="Sheet2"/>
  <dimension ref="A1:U14"/>
  <sheetViews>
    <sheetView tabSelected="1" workbookViewId="0">
      <selection activeCell="A14" sqref="A14"/>
    </sheetView>
  </sheetViews>
  <sheetFormatPr defaultRowHeight="14.25" x14ac:dyDescent="0.2"/>
  <cols>
    <col min="1" max="1" width="13.42578125" style="1" bestFit="1" customWidth="1"/>
    <col min="2" max="2" width="61.5703125" style="1" bestFit="1" customWidth="1"/>
    <col min="3" max="3" width="35.28515625" style="1" bestFit="1" customWidth="1"/>
    <col min="4" max="4" width="14.85546875" style="1" bestFit="1" customWidth="1"/>
    <col min="5" max="5" width="16.140625" style="1" bestFit="1" customWidth="1"/>
    <col min="6" max="6" width="18.5703125" style="1" bestFit="1" customWidth="1"/>
    <col min="7" max="7" width="12.140625" style="1" bestFit="1" customWidth="1"/>
    <col min="8" max="8" width="10.42578125" style="1" bestFit="1" customWidth="1"/>
    <col min="9" max="9" width="18.42578125" style="1" bestFit="1" customWidth="1"/>
    <col min="10" max="10" width="25.5703125" style="1" bestFit="1" customWidth="1"/>
    <col min="11" max="11" width="36.5703125" style="1" bestFit="1" customWidth="1"/>
    <col min="12" max="13" width="19.28515625" style="1" bestFit="1" customWidth="1"/>
    <col min="14" max="14" width="28.42578125" style="1" bestFit="1" customWidth="1"/>
    <col min="15" max="15" width="29.7109375" style="1" bestFit="1" customWidth="1"/>
    <col min="16" max="16" width="26" style="1" bestFit="1" customWidth="1"/>
    <col min="17" max="17" width="19.85546875" style="1" bestFit="1" customWidth="1"/>
    <col min="18" max="18" width="20.5703125" style="1" bestFit="1" customWidth="1"/>
    <col min="19" max="19" width="22.140625" style="1" bestFit="1" customWidth="1"/>
    <col min="20" max="20" width="31.85546875" style="1" bestFit="1" customWidth="1"/>
    <col min="21" max="21" width="20.85546875" style="1" bestFit="1" customWidth="1"/>
    <col min="22" max="22" width="23.140625" style="1" bestFit="1" customWidth="1"/>
    <col min="23" max="23" width="33.140625" style="1" bestFit="1" customWidth="1"/>
    <col min="24" max="24" width="38.28515625" style="1" bestFit="1" customWidth="1"/>
    <col min="25" max="25" width="63.42578125" style="1" bestFit="1" customWidth="1"/>
    <col min="26" max="26" width="28.85546875" style="1" bestFit="1" customWidth="1"/>
    <col min="27" max="28" width="18.28515625" style="1" bestFit="1" customWidth="1"/>
    <col min="29" max="29" width="62.140625" style="1" bestFit="1" customWidth="1"/>
    <col min="30" max="30" width="32.7109375" style="1" bestFit="1" customWidth="1"/>
    <col min="31" max="31" width="29" style="1" bestFit="1" customWidth="1"/>
    <col min="32" max="32" width="40.42578125" style="1" bestFit="1" customWidth="1"/>
    <col min="33" max="33" width="25.42578125" style="1" bestFit="1" customWidth="1"/>
    <col min="34" max="34" width="60.5703125" style="1" bestFit="1" customWidth="1"/>
    <col min="35" max="35" width="23.140625" style="1" bestFit="1" customWidth="1"/>
    <col min="36" max="36" width="33.140625" style="1" bestFit="1" customWidth="1"/>
    <col min="37" max="37" width="38.28515625" style="1" bestFit="1" customWidth="1"/>
    <col min="38" max="38" width="63.42578125" style="1" bestFit="1" customWidth="1"/>
    <col min="39" max="39" width="28.85546875" style="1" bestFit="1" customWidth="1"/>
    <col min="40" max="40" width="18.28515625" style="1" bestFit="1" customWidth="1"/>
    <col min="41" max="41" width="19.5703125" style="1" bestFit="1" customWidth="1"/>
    <col min="42" max="42" width="33.7109375" style="1" bestFit="1" customWidth="1"/>
    <col min="43" max="43" width="22.85546875" style="1" bestFit="1" customWidth="1"/>
    <col min="44" max="44" width="16.5703125" style="1" bestFit="1" customWidth="1"/>
    <col min="45" max="45" width="22" style="1" bestFit="1" customWidth="1"/>
    <col min="46" max="46" width="11.85546875" style="1" bestFit="1" customWidth="1"/>
    <col min="47" max="47" width="8.7109375" style="1" bestFit="1" customWidth="1"/>
    <col min="48" max="48" width="10.7109375" style="1" bestFit="1" customWidth="1"/>
    <col min="49" max="49" width="32.85546875" style="1" bestFit="1" customWidth="1"/>
    <col min="50" max="50" width="13.28515625" style="1" bestFit="1" customWidth="1"/>
    <col min="51" max="51" width="19.5703125" style="1" bestFit="1" customWidth="1"/>
    <col min="52" max="52" width="33.7109375" style="1" bestFit="1" customWidth="1"/>
    <col min="53" max="53" width="22.85546875" style="1" bestFit="1" customWidth="1"/>
    <col min="54" max="54" width="16.5703125" style="1" bestFit="1" customWidth="1"/>
    <col min="55" max="55" width="22" style="1" bestFit="1" customWidth="1"/>
    <col min="56" max="56" width="11.85546875" style="1" bestFit="1" customWidth="1"/>
    <col min="57" max="57" width="8.7109375" style="1" bestFit="1" customWidth="1"/>
    <col min="58" max="16384" width="9.140625" style="1"/>
  </cols>
  <sheetData>
    <row r="1" spans="1:21" ht="15.75" customHeight="1" x14ac:dyDescent="0.2">
      <c r="A1" s="32" t="s">
        <v>7</v>
      </c>
      <c r="B1" s="41" t="s">
        <v>6</v>
      </c>
      <c r="C1" s="42"/>
      <c r="D1" s="42"/>
      <c r="E1" s="42"/>
      <c r="F1" s="42"/>
      <c r="G1" s="42"/>
      <c r="H1" s="42"/>
      <c r="I1" s="4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4"/>
    </row>
    <row r="2" spans="1:21" ht="15" customHeight="1" x14ac:dyDescent="0.2">
      <c r="A2" s="50">
        <f ca="1" xml:space="preserve"> TODAY()</f>
        <v>45429</v>
      </c>
      <c r="B2" s="44"/>
      <c r="C2" s="45"/>
      <c r="D2" s="45"/>
      <c r="E2" s="45"/>
      <c r="F2" s="45"/>
      <c r="G2" s="45"/>
      <c r="H2" s="45"/>
      <c r="I2" s="46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6"/>
    </row>
    <row r="3" spans="1:21" ht="15" customHeight="1" thickBot="1" x14ac:dyDescent="0.25">
      <c r="A3" s="51"/>
      <c r="B3" s="47"/>
      <c r="C3" s="48"/>
      <c r="D3" s="48"/>
      <c r="E3" s="48"/>
      <c r="F3" s="48"/>
      <c r="G3" s="48"/>
      <c r="H3" s="48"/>
      <c r="I3" s="4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8"/>
    </row>
    <row r="4" spans="1:21" s="25" customFormat="1" ht="18" x14ac:dyDescent="0.25">
      <c r="A4" s="52" t="s">
        <v>66</v>
      </c>
      <c r="B4" s="52"/>
      <c r="C4" s="52"/>
      <c r="D4" s="52"/>
      <c r="E4" s="52"/>
      <c r="F4" s="52"/>
      <c r="G4" s="52"/>
      <c r="H4" s="52"/>
      <c r="I4" s="52"/>
      <c r="J4" s="23" t="s">
        <v>50</v>
      </c>
      <c r="K4" s="24" t="s">
        <v>49</v>
      </c>
      <c r="L4" s="24" t="s">
        <v>48</v>
      </c>
      <c r="M4" s="24" t="s">
        <v>47</v>
      </c>
      <c r="N4" s="24" t="s">
        <v>46</v>
      </c>
      <c r="O4" s="24" t="s">
        <v>45</v>
      </c>
      <c r="P4" s="24" t="s">
        <v>44</v>
      </c>
      <c r="Q4" s="24" t="s">
        <v>43</v>
      </c>
      <c r="R4" s="24" t="s">
        <v>42</v>
      </c>
      <c r="S4" s="24" t="s">
        <v>41</v>
      </c>
      <c r="T4" s="24" t="s">
        <v>40</v>
      </c>
      <c r="U4" s="24" t="s">
        <v>51</v>
      </c>
    </row>
    <row r="5" spans="1:21" s="28" customFormat="1" ht="57" x14ac:dyDescent="0.25">
      <c r="A5" s="26" t="s">
        <v>67</v>
      </c>
      <c r="B5" s="27" t="s">
        <v>60</v>
      </c>
      <c r="C5" s="28" t="s">
        <v>1</v>
      </c>
      <c r="D5" s="28" t="s">
        <v>0</v>
      </c>
      <c r="E5" s="28" t="s">
        <v>61</v>
      </c>
      <c r="F5" s="28" t="s">
        <v>62</v>
      </c>
      <c r="G5" s="28" t="s">
        <v>63</v>
      </c>
      <c r="H5" s="28" t="s">
        <v>64</v>
      </c>
      <c r="I5" s="28" t="s">
        <v>65</v>
      </c>
      <c r="J5" s="28" t="s">
        <v>39</v>
      </c>
      <c r="K5" s="28" t="s">
        <v>38</v>
      </c>
      <c r="L5" s="28" t="s">
        <v>37</v>
      </c>
      <c r="M5" s="28" t="s">
        <v>36</v>
      </c>
      <c r="N5" s="28" t="s">
        <v>35</v>
      </c>
      <c r="O5" s="28" t="s">
        <v>34</v>
      </c>
      <c r="P5" s="28" t="s">
        <v>33</v>
      </c>
      <c r="Q5" s="28" t="s">
        <v>32</v>
      </c>
      <c r="R5" s="28" t="s">
        <v>31</v>
      </c>
      <c r="S5" s="28" t="s">
        <v>30</v>
      </c>
      <c r="T5" s="28" t="s">
        <v>29</v>
      </c>
      <c r="U5" s="28" t="s">
        <v>28</v>
      </c>
    </row>
    <row r="6" spans="1:21" x14ac:dyDescent="0.2">
      <c r="A6" s="30" t="s">
        <v>15</v>
      </c>
      <c r="B6" s="30" t="s">
        <v>52</v>
      </c>
      <c r="C6" s="30" t="s">
        <v>4</v>
      </c>
      <c r="D6" s="31">
        <v>44329</v>
      </c>
      <c r="E6" s="31">
        <v>44329</v>
      </c>
      <c r="F6" s="30">
        <v>-1100</v>
      </c>
      <c r="G6" s="30" t="s">
        <v>22</v>
      </c>
      <c r="H6" s="30" t="s">
        <v>21</v>
      </c>
      <c r="I6" s="30" t="s">
        <v>25</v>
      </c>
      <c r="J6" s="31">
        <v>45317</v>
      </c>
      <c r="K6" s="31">
        <v>44242</v>
      </c>
      <c r="L6" s="31">
        <v>44249</v>
      </c>
      <c r="M6" s="31">
        <v>44256</v>
      </c>
      <c r="N6" s="31">
        <v>44263</v>
      </c>
      <c r="O6" s="31">
        <v>44270</v>
      </c>
      <c r="P6" s="31">
        <v>44277</v>
      </c>
      <c r="Q6" s="31">
        <v>44284</v>
      </c>
      <c r="R6" s="31">
        <v>44291</v>
      </c>
      <c r="S6" s="31">
        <v>44298</v>
      </c>
      <c r="T6" s="31">
        <v>44305</v>
      </c>
      <c r="U6" s="31"/>
    </row>
    <row r="7" spans="1:21" x14ac:dyDescent="0.2">
      <c r="A7" s="1" t="s">
        <v>13</v>
      </c>
      <c r="B7" s="1" t="s">
        <v>53</v>
      </c>
      <c r="C7" s="1" t="s">
        <v>2</v>
      </c>
      <c r="D7" s="29">
        <v>45380</v>
      </c>
      <c r="E7" s="29">
        <v>45380</v>
      </c>
      <c r="F7" s="1">
        <v>-49</v>
      </c>
      <c r="G7" s="1" t="s">
        <v>24</v>
      </c>
      <c r="H7" s="1" t="s">
        <v>23</v>
      </c>
      <c r="I7" s="1" t="s">
        <v>26</v>
      </c>
      <c r="J7" s="29">
        <v>44245</v>
      </c>
      <c r="K7" s="29">
        <v>45299</v>
      </c>
      <c r="L7" s="29">
        <v>45306</v>
      </c>
      <c r="M7" s="29">
        <v>45313</v>
      </c>
      <c r="N7" s="29">
        <v>45320</v>
      </c>
      <c r="O7" s="29">
        <v>45327</v>
      </c>
      <c r="P7" s="29">
        <v>45334</v>
      </c>
      <c r="Q7" s="29">
        <v>45341</v>
      </c>
      <c r="R7" s="29">
        <v>45348</v>
      </c>
      <c r="S7" s="29">
        <v>45355</v>
      </c>
      <c r="T7" s="29">
        <v>45362</v>
      </c>
      <c r="U7" s="29"/>
    </row>
    <row r="8" spans="1:21" x14ac:dyDescent="0.2">
      <c r="A8" s="30" t="s">
        <v>19</v>
      </c>
      <c r="B8" s="30" t="s">
        <v>54</v>
      </c>
      <c r="C8" s="30" t="s">
        <v>11</v>
      </c>
      <c r="D8" s="31">
        <v>45401</v>
      </c>
      <c r="E8" s="31">
        <v>45401</v>
      </c>
      <c r="F8" s="30">
        <v>-28</v>
      </c>
      <c r="G8" s="30" t="s">
        <v>22</v>
      </c>
      <c r="H8" s="30" t="s">
        <v>21</v>
      </c>
      <c r="I8" s="30" t="s">
        <v>27</v>
      </c>
      <c r="J8" s="31" t="s">
        <v>73</v>
      </c>
      <c r="K8" s="31">
        <v>45324</v>
      </c>
      <c r="L8" s="31">
        <v>45331</v>
      </c>
      <c r="M8" s="31">
        <v>45338</v>
      </c>
      <c r="N8" s="31">
        <v>45345</v>
      </c>
      <c r="O8" s="31">
        <v>45352</v>
      </c>
      <c r="P8" s="31">
        <v>45359</v>
      </c>
      <c r="Q8" s="31">
        <v>45366</v>
      </c>
      <c r="R8" s="31">
        <v>45373</v>
      </c>
      <c r="S8" s="31">
        <v>45380</v>
      </c>
      <c r="T8" s="31">
        <v>45387</v>
      </c>
      <c r="U8" s="31"/>
    </row>
    <row r="9" spans="1:21" x14ac:dyDescent="0.2">
      <c r="A9" s="30" t="s">
        <v>14</v>
      </c>
      <c r="B9" s="30" t="s">
        <v>55</v>
      </c>
      <c r="C9" s="30" t="s">
        <v>3</v>
      </c>
      <c r="D9" s="31">
        <v>45373</v>
      </c>
      <c r="E9" s="31">
        <v>45371</v>
      </c>
      <c r="F9" s="30">
        <v>-56</v>
      </c>
      <c r="G9" s="30" t="s">
        <v>22</v>
      </c>
      <c r="H9" s="30" t="s">
        <v>21</v>
      </c>
      <c r="I9" s="30" t="s">
        <v>27</v>
      </c>
      <c r="J9" s="31">
        <v>45296</v>
      </c>
      <c r="K9" s="31">
        <v>45296</v>
      </c>
      <c r="L9" s="31">
        <v>45303</v>
      </c>
      <c r="M9" s="31">
        <v>45310</v>
      </c>
      <c r="N9" s="31">
        <v>45317</v>
      </c>
      <c r="O9" s="31">
        <v>45324</v>
      </c>
      <c r="P9" s="31">
        <v>45331</v>
      </c>
      <c r="Q9" s="31">
        <v>45338</v>
      </c>
      <c r="R9" s="31">
        <v>45345</v>
      </c>
      <c r="S9" s="31">
        <v>45352</v>
      </c>
      <c r="T9" s="31">
        <v>45359</v>
      </c>
      <c r="U9" s="31"/>
    </row>
    <row r="10" spans="1:21" x14ac:dyDescent="0.2">
      <c r="A10" s="30" t="s">
        <v>17</v>
      </c>
      <c r="B10" s="30" t="s">
        <v>56</v>
      </c>
      <c r="C10" s="30" t="s">
        <v>8</v>
      </c>
      <c r="D10" s="31">
        <v>45310</v>
      </c>
      <c r="E10" s="31">
        <v>45310</v>
      </c>
      <c r="F10" s="30">
        <v>-119</v>
      </c>
      <c r="G10" s="30" t="s">
        <v>22</v>
      </c>
      <c r="H10" s="30" t="s">
        <v>21</v>
      </c>
      <c r="I10" s="30" t="s">
        <v>25</v>
      </c>
      <c r="J10" s="31">
        <v>45226</v>
      </c>
      <c r="K10" s="31">
        <v>45229</v>
      </c>
      <c r="L10" s="31">
        <v>45236</v>
      </c>
      <c r="M10" s="31">
        <v>45243</v>
      </c>
      <c r="N10" s="31">
        <v>45250</v>
      </c>
      <c r="O10" s="31">
        <v>45257</v>
      </c>
      <c r="P10" s="31">
        <v>45264</v>
      </c>
      <c r="Q10" s="31">
        <v>45271</v>
      </c>
      <c r="R10" s="31">
        <v>45278</v>
      </c>
      <c r="S10" s="31">
        <v>45285</v>
      </c>
      <c r="T10" s="31">
        <v>45292</v>
      </c>
      <c r="U10" s="31"/>
    </row>
    <row r="11" spans="1:21" x14ac:dyDescent="0.2">
      <c r="A11" s="1" t="s">
        <v>20</v>
      </c>
      <c r="B11" s="1" t="s">
        <v>57</v>
      </c>
      <c r="C11" s="1" t="s">
        <v>10</v>
      </c>
      <c r="D11" s="29">
        <v>45499</v>
      </c>
      <c r="E11" s="29"/>
      <c r="F11" s="1">
        <v>70</v>
      </c>
      <c r="G11" s="1" t="s">
        <v>24</v>
      </c>
      <c r="H11" s="1" t="s">
        <v>21</v>
      </c>
      <c r="I11" s="1" t="s">
        <v>25</v>
      </c>
      <c r="J11" s="29">
        <v>45331</v>
      </c>
      <c r="K11" s="29">
        <v>45442</v>
      </c>
      <c r="L11" s="29">
        <v>45449</v>
      </c>
      <c r="M11" s="29">
        <v>45456</v>
      </c>
      <c r="N11" s="29">
        <v>45463</v>
      </c>
      <c r="O11" s="29">
        <v>45470</v>
      </c>
      <c r="P11" s="29">
        <v>45477</v>
      </c>
      <c r="Q11" s="29">
        <v>45484</v>
      </c>
      <c r="R11" s="29">
        <v>45491</v>
      </c>
      <c r="S11" s="29">
        <v>45498</v>
      </c>
      <c r="T11" s="29">
        <v>45505</v>
      </c>
      <c r="U11" s="29"/>
    </row>
    <row r="12" spans="1:21" x14ac:dyDescent="0.2">
      <c r="A12" s="30" t="s">
        <v>16</v>
      </c>
      <c r="B12" s="30" t="s">
        <v>58</v>
      </c>
      <c r="C12" s="30" t="s">
        <v>5</v>
      </c>
      <c r="D12" s="31">
        <v>45411</v>
      </c>
      <c r="E12" s="31">
        <v>45415</v>
      </c>
      <c r="F12" s="30">
        <v>-18</v>
      </c>
      <c r="G12" s="30" t="s">
        <v>22</v>
      </c>
      <c r="H12" s="30" t="s">
        <v>21</v>
      </c>
      <c r="I12" s="30" t="s">
        <v>27</v>
      </c>
      <c r="J12" s="31">
        <v>45287</v>
      </c>
      <c r="K12" s="31">
        <v>45334</v>
      </c>
      <c r="L12" s="31">
        <v>45341</v>
      </c>
      <c r="M12" s="31">
        <v>45348</v>
      </c>
      <c r="N12" s="31">
        <v>45355</v>
      </c>
      <c r="O12" s="31">
        <v>45362</v>
      </c>
      <c r="P12" s="31">
        <v>45369</v>
      </c>
      <c r="Q12" s="31">
        <v>45376</v>
      </c>
      <c r="R12" s="31">
        <v>45383</v>
      </c>
      <c r="S12" s="31">
        <v>45390</v>
      </c>
      <c r="T12" s="31">
        <v>45397</v>
      </c>
      <c r="U12" s="31"/>
    </row>
    <row r="13" spans="1:21" x14ac:dyDescent="0.2">
      <c r="A13" s="1" t="s">
        <v>68</v>
      </c>
      <c r="B13" s="1" t="s">
        <v>70</v>
      </c>
      <c r="C13" s="1" t="s">
        <v>69</v>
      </c>
      <c r="D13" s="29">
        <v>45473</v>
      </c>
      <c r="E13" s="29">
        <v>45520</v>
      </c>
      <c r="F13" s="1">
        <v>44</v>
      </c>
      <c r="G13" s="1" t="s">
        <v>24</v>
      </c>
      <c r="H13" s="1" t="s">
        <v>71</v>
      </c>
      <c r="J13" s="29">
        <v>45409</v>
      </c>
      <c r="K13" s="29">
        <v>45396</v>
      </c>
      <c r="L13" s="29">
        <v>45403</v>
      </c>
      <c r="M13" s="29">
        <v>45410</v>
      </c>
      <c r="N13" s="29">
        <v>45417</v>
      </c>
      <c r="O13" s="29">
        <v>45424</v>
      </c>
      <c r="P13" s="29">
        <v>45431</v>
      </c>
      <c r="Q13" s="29">
        <v>45438</v>
      </c>
      <c r="R13" s="29">
        <v>45445</v>
      </c>
      <c r="S13" s="29">
        <v>45452</v>
      </c>
      <c r="T13" s="29">
        <v>45459</v>
      </c>
      <c r="U13" s="29"/>
    </row>
    <row r="14" spans="1:21" x14ac:dyDescent="0.2">
      <c r="A14" s="1" t="s">
        <v>18</v>
      </c>
      <c r="B14" s="1" t="s">
        <v>59</v>
      </c>
      <c r="C14" s="1" t="s">
        <v>9</v>
      </c>
      <c r="D14" s="29">
        <v>45471</v>
      </c>
      <c r="E14" s="29">
        <v>45493</v>
      </c>
      <c r="F14" s="1">
        <v>42</v>
      </c>
      <c r="G14" s="1" t="s">
        <v>24</v>
      </c>
      <c r="H14" s="1" t="s">
        <v>23</v>
      </c>
      <c r="J14" s="29">
        <v>45436</v>
      </c>
      <c r="K14" s="29">
        <v>45394</v>
      </c>
      <c r="L14" s="29">
        <v>45401</v>
      </c>
      <c r="M14" s="29">
        <v>45408</v>
      </c>
      <c r="N14" s="29">
        <v>45415</v>
      </c>
      <c r="O14" s="29">
        <v>45422</v>
      </c>
      <c r="P14" s="29">
        <v>45429</v>
      </c>
      <c r="Q14" s="29">
        <v>45436</v>
      </c>
      <c r="R14" s="29">
        <v>45443</v>
      </c>
      <c r="S14" s="29">
        <v>45450</v>
      </c>
      <c r="T14" s="29">
        <v>45457</v>
      </c>
      <c r="U14" s="29"/>
    </row>
  </sheetData>
  <mergeCells count="4">
    <mergeCell ref="B1:I3"/>
    <mergeCell ref="A2:A3"/>
    <mergeCell ref="A4:I4"/>
    <mergeCell ref="J1:U3"/>
  </mergeCells>
  <phoneticPr fontId="7" type="noConversion"/>
  <conditionalFormatting sqref="J15">
    <cfRule type="expression" dxfId="563" priority="4070" stopIfTrue="1">
      <formula>AND(J15&lt;&gt;"", D14 - J15 &lt;= 14, D14 - J15 &gt; 7)</formula>
    </cfRule>
  </conditionalFormatting>
  <conditionalFormatting sqref="J15">
    <cfRule type="expression" dxfId="562" priority="4071" stopIfTrue="1">
      <formula>AND(J15&lt;&gt;"", D14 - J15 &lt;= 7, D14 - J15 &gt; 1)</formula>
    </cfRule>
  </conditionalFormatting>
  <conditionalFormatting sqref="J15">
    <cfRule type="expression" dxfId="561" priority="4072" stopIfTrue="1">
      <formula>AND(J15&lt;&gt;"", D14 - J15 &lt;= 1)</formula>
    </cfRule>
  </conditionalFormatting>
  <conditionalFormatting sqref="K15">
    <cfRule type="expression" dxfId="560" priority="4073" stopIfTrue="1">
      <formula>AND(K15&lt;&gt;"", D14 - K15 &lt;= 14, D14 - K15 &gt; 7)</formula>
    </cfRule>
  </conditionalFormatting>
  <conditionalFormatting sqref="K15">
    <cfRule type="expression" dxfId="559" priority="4074" stopIfTrue="1">
      <formula>AND(K15&lt;&gt;"", D14 - K15 &lt;= 7, D14 - K15 &gt; 1)</formula>
    </cfRule>
  </conditionalFormatting>
  <conditionalFormatting sqref="K15">
    <cfRule type="expression" dxfId="558" priority="4075" stopIfTrue="1">
      <formula>AND(K15&lt;&gt;"", D14 - K15 &lt;= 1)</formula>
    </cfRule>
  </conditionalFormatting>
  <conditionalFormatting sqref="L15">
    <cfRule type="expression" dxfId="557" priority="4076" stopIfTrue="1">
      <formula>AND(L15&lt;&gt;"", D14 - L15 &lt;= 14, D14 - L15 &gt; 7)</formula>
    </cfRule>
  </conditionalFormatting>
  <conditionalFormatting sqref="L15">
    <cfRule type="expression" dxfId="556" priority="4077" stopIfTrue="1">
      <formula>AND(L15&lt;&gt;"", D14 - L15 &lt;= 7, D14 - L15 &gt; 1)</formula>
    </cfRule>
  </conditionalFormatting>
  <conditionalFormatting sqref="L15">
    <cfRule type="expression" dxfId="555" priority="4078" stopIfTrue="1">
      <formula>AND(L15&lt;&gt;"", D14 - L15 &lt;= 1)</formula>
    </cfRule>
  </conditionalFormatting>
  <conditionalFormatting sqref="M15">
    <cfRule type="expression" dxfId="554" priority="4079" stopIfTrue="1">
      <formula>AND(M15&lt;&gt;"", D14 - M15 &lt;= 14, D14 - M15 &gt; 7)</formula>
    </cfRule>
  </conditionalFormatting>
  <conditionalFormatting sqref="M15">
    <cfRule type="expression" dxfId="553" priority="4080" stopIfTrue="1">
      <formula>AND(M15&lt;&gt;"", D14 - M15 &lt;= 7, D14 - M15 &gt; 1)</formula>
    </cfRule>
  </conditionalFormatting>
  <conditionalFormatting sqref="M15">
    <cfRule type="expression" dxfId="552" priority="4081" stopIfTrue="1">
      <formula>AND(M15&lt;&gt;"", D14 - M15 &lt;= 1)</formula>
    </cfRule>
  </conditionalFormatting>
  <conditionalFormatting sqref="N15">
    <cfRule type="expression" dxfId="551" priority="4082" stopIfTrue="1">
      <formula>AND(N15&lt;&gt;"", D14 - N15 &lt;= 14, D14 - N15 &gt; 7)</formula>
    </cfRule>
  </conditionalFormatting>
  <conditionalFormatting sqref="N15">
    <cfRule type="expression" dxfId="550" priority="4083" stopIfTrue="1">
      <formula>AND(N15&lt;&gt;"", D14 - N15 &lt;= 7, D14 - N15 &gt; 1)</formula>
    </cfRule>
  </conditionalFormatting>
  <conditionalFormatting sqref="N15">
    <cfRule type="expression" dxfId="549" priority="4084" stopIfTrue="1">
      <formula>AND(N15&lt;&gt;"", D14 - N15 &lt;= 1)</formula>
    </cfRule>
  </conditionalFormatting>
  <conditionalFormatting sqref="O15">
    <cfRule type="expression" dxfId="548" priority="4085" stopIfTrue="1">
      <formula>AND(O15&lt;&gt;"", D14 - O15 &lt;= 14, D14 - O15 &gt; 7)</formula>
    </cfRule>
  </conditionalFormatting>
  <conditionalFormatting sqref="O15">
    <cfRule type="expression" dxfId="547" priority="4086" stopIfTrue="1">
      <formula>AND(O15&lt;&gt;"", D14 - O15 &lt;= 7, D14 - O15 &gt; 1)</formula>
    </cfRule>
  </conditionalFormatting>
  <conditionalFormatting sqref="O15">
    <cfRule type="expression" dxfId="546" priority="4087" stopIfTrue="1">
      <formula>AND(O15&lt;&gt;"", D14 - O15 &lt;= 1)</formula>
    </cfRule>
  </conditionalFormatting>
  <conditionalFormatting sqref="P15">
    <cfRule type="expression" dxfId="545" priority="4088" stopIfTrue="1">
      <formula>AND(P15&lt;&gt;"", D14 - P15 &lt;= 14, D14 - P15 &gt; 7)</formula>
    </cfRule>
  </conditionalFormatting>
  <conditionalFormatting sqref="P15">
    <cfRule type="expression" dxfId="544" priority="4089" stopIfTrue="1">
      <formula>AND(P15&lt;&gt;"", D14 - P15 &lt;= 7, D14 - P15 &gt; 1)</formula>
    </cfRule>
  </conditionalFormatting>
  <conditionalFormatting sqref="P15">
    <cfRule type="expression" dxfId="543" priority="4090" stopIfTrue="1">
      <formula>AND(P15&lt;&gt;"", D14 - P15 &lt;= 1)</formula>
    </cfRule>
  </conditionalFormatting>
  <conditionalFormatting sqref="Q15">
    <cfRule type="expression" dxfId="542" priority="4091" stopIfTrue="1">
      <formula>AND(Q15&lt;&gt;"", D14 - Q15 &lt;= 14, D14 - Q15 &gt; 7)</formula>
    </cfRule>
  </conditionalFormatting>
  <conditionalFormatting sqref="Q15">
    <cfRule type="expression" dxfId="541" priority="4092" stopIfTrue="1">
      <formula>AND(Q15&lt;&gt;"", D14 - Q15 &lt;= 7, D14 - Q15 &gt; 1)</formula>
    </cfRule>
  </conditionalFormatting>
  <conditionalFormatting sqref="Q15">
    <cfRule type="expression" dxfId="540" priority="4093" stopIfTrue="1">
      <formula>AND(Q15&lt;&gt;"", D14 - Q15 &lt;= 1)</formula>
    </cfRule>
  </conditionalFormatting>
  <conditionalFormatting sqref="R15">
    <cfRule type="expression" dxfId="539" priority="4094" stopIfTrue="1">
      <formula>AND(R15&lt;&gt;"", D14 - R15 &lt;= 14, D14 - R15 &gt; 7)</formula>
    </cfRule>
  </conditionalFormatting>
  <conditionalFormatting sqref="R15">
    <cfRule type="expression" dxfId="538" priority="4095" stopIfTrue="1">
      <formula>AND(R15&lt;&gt;"", D14 - R15 &lt;= 7, D14 - R15 &gt; 1)</formula>
    </cfRule>
  </conditionalFormatting>
  <conditionalFormatting sqref="R15">
    <cfRule type="expression" dxfId="537" priority="4096" stopIfTrue="1">
      <formula>AND(R15&lt;&gt;"", D14 - R15 &lt;= 1)</formula>
    </cfRule>
  </conditionalFormatting>
  <conditionalFormatting sqref="S15">
    <cfRule type="expression" dxfId="536" priority="4097" stopIfTrue="1">
      <formula>AND(S15&lt;&gt;"", D14 - S15 &lt;= 14, D14 - S15 &gt; 7)</formula>
    </cfRule>
  </conditionalFormatting>
  <conditionalFormatting sqref="S15">
    <cfRule type="expression" dxfId="535" priority="4098" stopIfTrue="1">
      <formula>AND(S15&lt;&gt;"", D14 - S15 &lt;= 7, D14 - S15 &gt; 1)</formula>
    </cfRule>
  </conditionalFormatting>
  <conditionalFormatting sqref="S15">
    <cfRule type="expression" dxfId="534" priority="4099" stopIfTrue="1">
      <formula>AND(S15&lt;&gt;"", D14 - S15 &lt;= 1)</formula>
    </cfRule>
  </conditionalFormatting>
  <conditionalFormatting sqref="T15">
    <cfRule type="expression" dxfId="533" priority="4100" stopIfTrue="1">
      <formula>AND(T15&lt;&gt;"", D14 - T15 &lt;= 14, D14 - T15 &gt; 7)</formula>
    </cfRule>
  </conditionalFormatting>
  <conditionalFormatting sqref="T15">
    <cfRule type="expression" dxfId="532" priority="4101" stopIfTrue="1">
      <formula>AND(T15&lt;&gt;"", D14 - T15 &lt;= 7, D14 - T15 &gt; 1)</formula>
    </cfRule>
  </conditionalFormatting>
  <conditionalFormatting sqref="T15">
    <cfRule type="expression" dxfId="531" priority="4102" stopIfTrue="1">
      <formula>AND(T15&lt;&gt;"", D14 - T15 &lt;= 1)</formula>
    </cfRule>
  </conditionalFormatting>
  <conditionalFormatting sqref="U15">
    <cfRule type="expression" dxfId="530" priority="4103" stopIfTrue="1">
      <formula>AND(U15&lt;&gt;"", D14 - U15 &lt;= 14, D14 - U15 &gt; 7)</formula>
    </cfRule>
  </conditionalFormatting>
  <conditionalFormatting sqref="U15">
    <cfRule type="expression" dxfId="529" priority="4104" stopIfTrue="1">
      <formula>AND(U15&lt;&gt;"", D14 - U15 &lt;= 7, D14 - U15 &gt; 1)</formula>
    </cfRule>
  </conditionalFormatting>
  <conditionalFormatting sqref="U15">
    <cfRule type="expression" dxfId="528" priority="4105" stopIfTrue="1">
      <formula>AND(U15&lt;&gt;"", D14 - U15 &lt;= 1)</formula>
    </cfRule>
  </conditionalFormatting>
  <conditionalFormatting sqref="J2">
    <cfRule type="expression" dxfId="527" priority="11930" stopIfTrue="1">
      <formula>AND(J2&lt;&gt;"", J2 - A2 &gt; 14)</formula>
    </cfRule>
  </conditionalFormatting>
  <conditionalFormatting sqref="J2">
    <cfRule type="expression" dxfId="526" priority="11931" stopIfTrue="1">
      <formula>AND(J2&lt;&gt;"", J2 - A2 &lt;= 14, J2 - A2 &gt; 7)</formula>
    </cfRule>
  </conditionalFormatting>
  <conditionalFormatting sqref="J2">
    <cfRule type="expression" dxfId="525" priority="11932" stopIfTrue="1">
      <formula>AND(J2&lt;&gt;"", J2 - A2 &lt;= 7, J2 - A2 &gt; 2)</formula>
    </cfRule>
  </conditionalFormatting>
  <conditionalFormatting sqref="J2">
    <cfRule type="expression" dxfId="524" priority="11933" stopIfTrue="1">
      <formula>AND(J2&lt;&gt;"", J2 - A2 &lt;= 2)</formula>
    </cfRule>
  </conditionalFormatting>
  <conditionalFormatting sqref="K2">
    <cfRule type="expression" dxfId="523" priority="11934" stopIfTrue="1">
      <formula>AND(K2&lt;&gt;"", K2 - A2 &gt; 14)</formula>
    </cfRule>
  </conditionalFormatting>
  <conditionalFormatting sqref="K2">
    <cfRule type="expression" dxfId="522" priority="11935" stopIfTrue="1">
      <formula>AND(K2&lt;&gt;"", K2 - A2 &lt;= 14, K2 - A2 &gt; 7)</formula>
    </cfRule>
  </conditionalFormatting>
  <conditionalFormatting sqref="K2">
    <cfRule type="expression" dxfId="521" priority="11936" stopIfTrue="1">
      <formula>AND(K2&lt;&gt;"", K2 - A2 &lt;= 7, K2 - A2 &gt; 2)</formula>
    </cfRule>
  </conditionalFormatting>
  <conditionalFormatting sqref="K2">
    <cfRule type="expression" dxfId="520" priority="11937" stopIfTrue="1">
      <formula>AND(K2&lt;&gt;"", K2 - A2 &lt;= 2)</formula>
    </cfRule>
  </conditionalFormatting>
  <conditionalFormatting sqref="L2">
    <cfRule type="expression" dxfId="519" priority="11938" stopIfTrue="1">
      <formula>AND(L2&lt;&gt;"", L2 - A2 &gt; 14)</formula>
    </cfRule>
  </conditionalFormatting>
  <conditionalFormatting sqref="L2">
    <cfRule type="expression" dxfId="518" priority="11939" stopIfTrue="1">
      <formula>AND(L2&lt;&gt;"", L2 - A2 &lt;= 14, L2 - A2 &gt; 7)</formula>
    </cfRule>
  </conditionalFormatting>
  <conditionalFormatting sqref="L2">
    <cfRule type="expression" dxfId="517" priority="11940" stopIfTrue="1">
      <formula>AND(L2&lt;&gt;"", L2 - A2 &lt;= 7, L2 - A2 &gt; 2)</formula>
    </cfRule>
  </conditionalFormatting>
  <conditionalFormatting sqref="L2">
    <cfRule type="expression" dxfId="516" priority="11941" stopIfTrue="1">
      <formula>AND(L2&lt;&gt;"", L2 - A2 &lt;= 2)</formula>
    </cfRule>
  </conditionalFormatting>
  <conditionalFormatting sqref="M2">
    <cfRule type="expression" dxfId="515" priority="11942" stopIfTrue="1">
      <formula>AND(M2&lt;&gt;"", M2 - A2 &gt; 14)</formula>
    </cfRule>
  </conditionalFormatting>
  <conditionalFormatting sqref="M2">
    <cfRule type="expression" dxfId="514" priority="11943" stopIfTrue="1">
      <formula>AND(M2&lt;&gt;"", M2 - A2 &lt;= 14, M2 - A2 &gt; 7)</formula>
    </cfRule>
  </conditionalFormatting>
  <conditionalFormatting sqref="M2">
    <cfRule type="expression" dxfId="513" priority="11944" stopIfTrue="1">
      <formula>AND(M2&lt;&gt;"", M2 - A2 &lt;= 7, M2 - A2 &gt; 2)</formula>
    </cfRule>
  </conditionalFormatting>
  <conditionalFormatting sqref="M2">
    <cfRule type="expression" dxfId="512" priority="11945" stopIfTrue="1">
      <formula>AND(M2&lt;&gt;"", M2 - A2 &lt;= 2)</formula>
    </cfRule>
  </conditionalFormatting>
  <conditionalFormatting sqref="N2">
    <cfRule type="expression" dxfId="511" priority="11946" stopIfTrue="1">
      <formula>AND(N2&lt;&gt;"", N2 - A2 &gt; 14)</formula>
    </cfRule>
  </conditionalFormatting>
  <conditionalFormatting sqref="N2">
    <cfRule type="expression" dxfId="510" priority="11947" stopIfTrue="1">
      <formula>AND(N2&lt;&gt;"", N2 - A2 &lt;= 14, N2 - A2 &gt; 7)</formula>
    </cfRule>
  </conditionalFormatting>
  <conditionalFormatting sqref="N2">
    <cfRule type="expression" dxfId="509" priority="11948" stopIfTrue="1">
      <formula>AND(N2&lt;&gt;"", N2 - A2 &lt;= 7, N2 - A2 &gt; 2)</formula>
    </cfRule>
  </conditionalFormatting>
  <conditionalFormatting sqref="N2">
    <cfRule type="expression" dxfId="508" priority="11949" stopIfTrue="1">
      <formula>AND(N2&lt;&gt;"", N2 - A2 &lt;= 2)</formula>
    </cfRule>
  </conditionalFormatting>
  <conditionalFormatting sqref="O2">
    <cfRule type="expression" dxfId="507" priority="11950" stopIfTrue="1">
      <formula>AND(O2&lt;&gt;"", O2 - A2 &gt; 14)</formula>
    </cfRule>
  </conditionalFormatting>
  <conditionalFormatting sqref="O2">
    <cfRule type="expression" dxfId="506" priority="11951" stopIfTrue="1">
      <formula>AND(O2&lt;&gt;"", O2 - A2 &lt;= 14, O2 - A2 &gt; 7)</formula>
    </cfRule>
  </conditionalFormatting>
  <conditionalFormatting sqref="O2">
    <cfRule type="expression" dxfId="505" priority="11952" stopIfTrue="1">
      <formula>AND(O2&lt;&gt;"", O2 - A2 &lt;= 7, O2 - A2 &gt; 2)</formula>
    </cfRule>
  </conditionalFormatting>
  <conditionalFormatting sqref="O2">
    <cfRule type="expression" dxfId="504" priority="11953" stopIfTrue="1">
      <formula>AND(O2&lt;&gt;"", O2 - A2 &lt;= 2)</formula>
    </cfRule>
  </conditionalFormatting>
  <conditionalFormatting sqref="P2">
    <cfRule type="expression" dxfId="503" priority="11954" stopIfTrue="1">
      <formula>AND(P2&lt;&gt;"", P2 - A2 &gt; 14)</formula>
    </cfRule>
  </conditionalFormatting>
  <conditionalFormatting sqref="P2">
    <cfRule type="expression" dxfId="502" priority="11955" stopIfTrue="1">
      <formula>AND(P2&lt;&gt;"", P2 - A2 &lt;= 14, P2 - A2 &gt; 7)</formula>
    </cfRule>
  </conditionalFormatting>
  <conditionalFormatting sqref="P2">
    <cfRule type="expression" dxfId="501" priority="11956" stopIfTrue="1">
      <formula>AND(P2&lt;&gt;"", P2 - A2 &lt;= 7, P2 - A2 &gt; 2)</formula>
    </cfRule>
  </conditionalFormatting>
  <conditionalFormatting sqref="P2">
    <cfRule type="expression" dxfId="500" priority="11957" stopIfTrue="1">
      <formula>AND(P2&lt;&gt;"", P2 - A2 &lt;= 2)</formula>
    </cfRule>
  </conditionalFormatting>
  <conditionalFormatting sqref="Q2">
    <cfRule type="expression" dxfId="499" priority="11958" stopIfTrue="1">
      <formula>AND(Q2&lt;&gt;"", Q2 - A2 &gt; 14)</formula>
    </cfRule>
  </conditionalFormatting>
  <conditionalFormatting sqref="Q2">
    <cfRule type="expression" dxfId="498" priority="11959" stopIfTrue="1">
      <formula>AND(Q2&lt;&gt;"", Q2 - A2 &lt;= 14, Q2 - A2 &gt; 7)</formula>
    </cfRule>
  </conditionalFormatting>
  <conditionalFormatting sqref="Q2">
    <cfRule type="expression" dxfId="497" priority="11960" stopIfTrue="1">
      <formula>AND(Q2&lt;&gt;"", Q2 - A2 &lt;= 7, Q2 - A2 &gt; 2)</formula>
    </cfRule>
  </conditionalFormatting>
  <conditionalFormatting sqref="Q2">
    <cfRule type="expression" dxfId="496" priority="11961" stopIfTrue="1">
      <formula>AND(Q2&lt;&gt;"", Q2 - A2 &lt;= 2)</formula>
    </cfRule>
  </conditionalFormatting>
  <conditionalFormatting sqref="R2">
    <cfRule type="expression" dxfId="495" priority="11962" stopIfTrue="1">
      <formula>AND(R2&lt;&gt;"", R2 - A2 &gt; 14)</formula>
    </cfRule>
  </conditionalFormatting>
  <conditionalFormatting sqref="R2">
    <cfRule type="expression" dxfId="494" priority="11963" stopIfTrue="1">
      <formula>AND(R2&lt;&gt;"", R2 - A2 &lt;= 14, R2 - A2 &gt; 7)</formula>
    </cfRule>
  </conditionalFormatting>
  <conditionalFormatting sqref="R2">
    <cfRule type="expression" dxfId="493" priority="11964" stopIfTrue="1">
      <formula>AND(R2&lt;&gt;"", R2 - A2 &lt;= 7, R2 - A2 &gt; 2)</formula>
    </cfRule>
  </conditionalFormatting>
  <conditionalFormatting sqref="R2">
    <cfRule type="expression" dxfId="492" priority="11965" stopIfTrue="1">
      <formula>AND(R2&lt;&gt;"", R2 - A2 &lt;= 2)</formula>
    </cfRule>
  </conditionalFormatting>
  <conditionalFormatting sqref="S2">
    <cfRule type="expression" dxfId="491" priority="11966" stopIfTrue="1">
      <formula>AND(S2&lt;&gt;"", S2 - A2 &gt; 14)</formula>
    </cfRule>
  </conditionalFormatting>
  <conditionalFormatting sqref="S2">
    <cfRule type="expression" dxfId="490" priority="11967" stopIfTrue="1">
      <formula>AND(S2&lt;&gt;"", S2 - A2 &lt;= 14, S2 - A2 &gt; 7)</formula>
    </cfRule>
  </conditionalFormatting>
  <conditionalFormatting sqref="S2">
    <cfRule type="expression" dxfId="489" priority="11968" stopIfTrue="1">
      <formula>AND(S2&lt;&gt;"", S2 - A2 &lt;= 7, S2 - A2 &gt; 2)</formula>
    </cfRule>
  </conditionalFormatting>
  <conditionalFormatting sqref="S2">
    <cfRule type="expression" dxfId="488" priority="11969" stopIfTrue="1">
      <formula>AND(S2&lt;&gt;"", S2 - A2 &lt;= 2)</formula>
    </cfRule>
  </conditionalFormatting>
  <conditionalFormatting sqref="T2">
    <cfRule type="expression" dxfId="487" priority="11970" stopIfTrue="1">
      <formula>AND(T2&lt;&gt;"", T2 - A2 &gt; 14)</formula>
    </cfRule>
  </conditionalFormatting>
  <conditionalFormatting sqref="T2">
    <cfRule type="expression" dxfId="486" priority="11971" stopIfTrue="1">
      <formula>AND(T2&lt;&gt;"", T2 - A2 &lt;= 14, T2 - A2 &gt; 7)</formula>
    </cfRule>
  </conditionalFormatting>
  <conditionalFormatting sqref="T2">
    <cfRule type="expression" dxfId="485" priority="11972" stopIfTrue="1">
      <formula>AND(T2&lt;&gt;"", T2 - A2 &lt;= 7, T2 - A2 &gt; 2)</formula>
    </cfRule>
  </conditionalFormatting>
  <conditionalFormatting sqref="T2">
    <cfRule type="expression" dxfId="484" priority="11973" stopIfTrue="1">
      <formula>AND(T2&lt;&gt;"", T2 - A2 &lt;= 2)</formula>
    </cfRule>
  </conditionalFormatting>
  <conditionalFormatting sqref="U2">
    <cfRule type="expression" dxfId="483" priority="11974" stopIfTrue="1">
      <formula>AND(U2&lt;&gt;"", U2 - A2 &gt; 14)</formula>
    </cfRule>
  </conditionalFormatting>
  <conditionalFormatting sqref="U2">
    <cfRule type="expression" dxfId="482" priority="11975" stopIfTrue="1">
      <formula>AND(U2&lt;&gt;"", U2 - A2 &lt;= 14, U2 - A2 &gt; 7)</formula>
    </cfRule>
  </conditionalFormatting>
  <conditionalFormatting sqref="U2">
    <cfRule type="expression" dxfId="481" priority="11976" stopIfTrue="1">
      <formula>AND(U2&lt;&gt;"", U2 - A2 &lt;= 7, U2 - A2 &gt; 2)</formula>
    </cfRule>
  </conditionalFormatting>
  <conditionalFormatting sqref="U2">
    <cfRule type="expression" dxfId="480" priority="11977" stopIfTrue="1">
      <formula>AND(U2&lt;&gt;"", U2 - A2 &lt;= 2)</formula>
    </cfRule>
  </conditionalFormatting>
  <conditionalFormatting sqref="J3">
    <cfRule type="expression" dxfId="479" priority="11978" stopIfTrue="1">
      <formula>AND(J3&lt;&gt;"", J3 - A2 &gt; 14)</formula>
    </cfRule>
  </conditionalFormatting>
  <conditionalFormatting sqref="J3">
    <cfRule type="expression" dxfId="478" priority="11979" stopIfTrue="1">
      <formula>AND(J3&lt;&gt;"", J3 - A2 &lt;= 14, J3 - A2 &gt; 7)</formula>
    </cfRule>
  </conditionalFormatting>
  <conditionalFormatting sqref="J3">
    <cfRule type="expression" dxfId="477" priority="11980" stopIfTrue="1">
      <formula>AND(J3&lt;&gt;"", J3 - A2 &lt;= 7, J3 - A2 &gt; 2)</formula>
    </cfRule>
  </conditionalFormatting>
  <conditionalFormatting sqref="J3">
    <cfRule type="expression" dxfId="476" priority="11981" stopIfTrue="1">
      <formula>AND(J3&lt;&gt;"", J3 - A2 &lt;= 2)</formula>
    </cfRule>
  </conditionalFormatting>
  <conditionalFormatting sqref="K3">
    <cfRule type="expression" dxfId="475" priority="11982" stopIfTrue="1">
      <formula>AND(K3&lt;&gt;"", K3 - A2 &gt; 14)</formula>
    </cfRule>
  </conditionalFormatting>
  <conditionalFormatting sqref="K3">
    <cfRule type="expression" dxfId="474" priority="11983" stopIfTrue="1">
      <formula>AND(K3&lt;&gt;"", K3 - A2 &lt;= 14, K3 - A2 &gt; 7)</formula>
    </cfRule>
  </conditionalFormatting>
  <conditionalFormatting sqref="K3">
    <cfRule type="expression" dxfId="473" priority="11984" stopIfTrue="1">
      <formula>AND(K3&lt;&gt;"", K3 - A2 &lt;= 7, K3 - A2 &gt; 2)</formula>
    </cfRule>
  </conditionalFormatting>
  <conditionalFormatting sqref="K3">
    <cfRule type="expression" dxfId="472" priority="11985" stopIfTrue="1">
      <formula>AND(K3&lt;&gt;"", K3 - A2 &lt;= 2)</formula>
    </cfRule>
  </conditionalFormatting>
  <conditionalFormatting sqref="L3">
    <cfRule type="expression" dxfId="471" priority="11986" stopIfTrue="1">
      <formula>AND(L3&lt;&gt;"", L3 - A2 &gt; 14)</formula>
    </cfRule>
  </conditionalFormatting>
  <conditionalFormatting sqref="L3">
    <cfRule type="expression" dxfId="470" priority="11987" stopIfTrue="1">
      <formula>AND(L3&lt;&gt;"", L3 - A2 &lt;= 14, L3 - A2 &gt; 7)</formula>
    </cfRule>
  </conditionalFormatting>
  <conditionalFormatting sqref="L3">
    <cfRule type="expression" dxfId="469" priority="11988" stopIfTrue="1">
      <formula>AND(L3&lt;&gt;"", L3 - A2 &lt;= 7, L3 - A2 &gt; 2)</formula>
    </cfRule>
  </conditionalFormatting>
  <conditionalFormatting sqref="L3">
    <cfRule type="expression" dxfId="468" priority="11989" stopIfTrue="1">
      <formula>AND(L3&lt;&gt;"", L3 - A2 &lt;= 2)</formula>
    </cfRule>
  </conditionalFormatting>
  <conditionalFormatting sqref="M3">
    <cfRule type="expression" dxfId="467" priority="11990" stopIfTrue="1">
      <formula>AND(M3&lt;&gt;"", M3 - A2 &gt; 14)</formula>
    </cfRule>
  </conditionalFormatting>
  <conditionalFormatting sqref="M3">
    <cfRule type="expression" dxfId="466" priority="11991" stopIfTrue="1">
      <formula>AND(M3&lt;&gt;"", M3 - A2 &lt;= 14, M3 - A2 &gt; 7)</formula>
    </cfRule>
  </conditionalFormatting>
  <conditionalFormatting sqref="M3">
    <cfRule type="expression" dxfId="465" priority="11992" stopIfTrue="1">
      <formula>AND(M3&lt;&gt;"", M3 - A2 &lt;= 7, M3 - A2 &gt; 2)</formula>
    </cfRule>
  </conditionalFormatting>
  <conditionalFormatting sqref="M3">
    <cfRule type="expression" dxfId="464" priority="11993" stopIfTrue="1">
      <formula>AND(M3&lt;&gt;"", M3 - A2 &lt;= 2)</formula>
    </cfRule>
  </conditionalFormatting>
  <conditionalFormatting sqref="N3">
    <cfRule type="expression" dxfId="463" priority="11994" stopIfTrue="1">
      <formula>AND(N3&lt;&gt;"", N3 - A2 &gt; 14)</formula>
    </cfRule>
  </conditionalFormatting>
  <conditionalFormatting sqref="N3">
    <cfRule type="expression" dxfId="462" priority="11995" stopIfTrue="1">
      <formula>AND(N3&lt;&gt;"", N3 - A2 &lt;= 14, N3 - A2 &gt; 7)</formula>
    </cfRule>
  </conditionalFormatting>
  <conditionalFormatting sqref="N3">
    <cfRule type="expression" dxfId="461" priority="11996" stopIfTrue="1">
      <formula>AND(N3&lt;&gt;"", N3 - A2 &lt;= 7, N3 - A2 &gt; 2)</formula>
    </cfRule>
  </conditionalFormatting>
  <conditionalFormatting sqref="N3">
    <cfRule type="expression" dxfId="460" priority="11997" stopIfTrue="1">
      <formula>AND(N3&lt;&gt;"", N3 - A2 &lt;= 2)</formula>
    </cfRule>
  </conditionalFormatting>
  <conditionalFormatting sqref="O3">
    <cfRule type="expression" dxfId="459" priority="11998" stopIfTrue="1">
      <formula>AND(O3&lt;&gt;"", O3 - A2 &gt; 14)</formula>
    </cfRule>
  </conditionalFormatting>
  <conditionalFormatting sqref="O3">
    <cfRule type="expression" dxfId="458" priority="11999" stopIfTrue="1">
      <formula>AND(O3&lt;&gt;"", O3 - A2 &lt;= 14, O3 - A2 &gt; 7)</formula>
    </cfRule>
  </conditionalFormatting>
  <conditionalFormatting sqref="O3">
    <cfRule type="expression" dxfId="457" priority="12000" stopIfTrue="1">
      <formula>AND(O3&lt;&gt;"", O3 - A2 &lt;= 7, O3 - A2 &gt; 2)</formula>
    </cfRule>
  </conditionalFormatting>
  <conditionalFormatting sqref="O3">
    <cfRule type="expression" dxfId="456" priority="12001" stopIfTrue="1">
      <formula>AND(O3&lt;&gt;"", O3 - A2 &lt;= 2)</formula>
    </cfRule>
  </conditionalFormatting>
  <conditionalFormatting sqref="P3">
    <cfRule type="expression" dxfId="455" priority="12002" stopIfTrue="1">
      <formula>AND(P3&lt;&gt;"", P3 - A2 &gt; 14)</formula>
    </cfRule>
  </conditionalFormatting>
  <conditionalFormatting sqref="P3">
    <cfRule type="expression" dxfId="454" priority="12003" stopIfTrue="1">
      <formula>AND(P3&lt;&gt;"", P3 - A2 &lt;= 14, P3 - A2 &gt; 7)</formula>
    </cfRule>
  </conditionalFormatting>
  <conditionalFormatting sqref="P3">
    <cfRule type="expression" dxfId="453" priority="12004" stopIfTrue="1">
      <formula>AND(P3&lt;&gt;"", P3 - A2 &lt;= 7, P3 - A2 &gt; 2)</formula>
    </cfRule>
  </conditionalFormatting>
  <conditionalFormatting sqref="P3">
    <cfRule type="expression" dxfId="452" priority="12005" stopIfTrue="1">
      <formula>AND(P3&lt;&gt;"", P3 - A2 &lt;= 2)</formula>
    </cfRule>
  </conditionalFormatting>
  <conditionalFormatting sqref="Q3">
    <cfRule type="expression" dxfId="451" priority="12006" stopIfTrue="1">
      <formula>AND(Q3&lt;&gt;"", Q3 - A2 &gt; 14)</formula>
    </cfRule>
  </conditionalFormatting>
  <conditionalFormatting sqref="Q3">
    <cfRule type="expression" dxfId="450" priority="12007" stopIfTrue="1">
      <formula>AND(Q3&lt;&gt;"", Q3 - A2 &lt;= 14, Q3 - A2 &gt; 7)</formula>
    </cfRule>
  </conditionalFormatting>
  <conditionalFormatting sqref="Q3">
    <cfRule type="expression" dxfId="449" priority="12008" stopIfTrue="1">
      <formula>AND(Q3&lt;&gt;"", Q3 - A2 &lt;= 7, Q3 - A2 &gt; 2)</formula>
    </cfRule>
  </conditionalFormatting>
  <conditionalFormatting sqref="Q3">
    <cfRule type="expression" dxfId="448" priority="12009" stopIfTrue="1">
      <formula>AND(Q3&lt;&gt;"", Q3 - A2 &lt;= 2)</formula>
    </cfRule>
  </conditionalFormatting>
  <conditionalFormatting sqref="R3">
    <cfRule type="expression" dxfId="447" priority="12010" stopIfTrue="1">
      <formula>AND(R3&lt;&gt;"", R3 - A2 &gt; 14)</formula>
    </cfRule>
  </conditionalFormatting>
  <conditionalFormatting sqref="R3">
    <cfRule type="expression" dxfId="446" priority="12011" stopIfTrue="1">
      <formula>AND(R3&lt;&gt;"", R3 - A2 &lt;= 14, R3 - A2 &gt; 7)</formula>
    </cfRule>
  </conditionalFormatting>
  <conditionalFormatting sqref="R3">
    <cfRule type="expression" dxfId="445" priority="12012" stopIfTrue="1">
      <formula>AND(R3&lt;&gt;"", R3 - A2 &lt;= 7, R3 - A2 &gt; 2)</formula>
    </cfRule>
  </conditionalFormatting>
  <conditionalFormatting sqref="R3">
    <cfRule type="expression" dxfId="444" priority="12013" stopIfTrue="1">
      <formula>AND(R3&lt;&gt;"", R3 - A2 &lt;= 2)</formula>
    </cfRule>
  </conditionalFormatting>
  <conditionalFormatting sqref="S3">
    <cfRule type="expression" dxfId="443" priority="12014" stopIfTrue="1">
      <formula>AND(S3&lt;&gt;"", S3 - A2 &gt; 14)</formula>
    </cfRule>
  </conditionalFormatting>
  <conditionalFormatting sqref="S3">
    <cfRule type="expression" dxfId="442" priority="12015" stopIfTrue="1">
      <formula>AND(S3&lt;&gt;"", S3 - A2 &lt;= 14, S3 - A2 &gt; 7)</formula>
    </cfRule>
  </conditionalFormatting>
  <conditionalFormatting sqref="S3">
    <cfRule type="expression" dxfId="441" priority="12016" stopIfTrue="1">
      <formula>AND(S3&lt;&gt;"", S3 - A2 &lt;= 7, S3 - A2 &gt; 2)</formula>
    </cfRule>
  </conditionalFormatting>
  <conditionalFormatting sqref="S3">
    <cfRule type="expression" dxfId="440" priority="12017" stopIfTrue="1">
      <formula>AND(S3&lt;&gt;"", S3 - A2 &lt;= 2)</formula>
    </cfRule>
  </conditionalFormatting>
  <conditionalFormatting sqref="T3">
    <cfRule type="expression" dxfId="439" priority="12018" stopIfTrue="1">
      <formula>AND(T3&lt;&gt;"", T3 - A2 &gt; 14)</formula>
    </cfRule>
  </conditionalFormatting>
  <conditionalFormatting sqref="T3">
    <cfRule type="expression" dxfId="438" priority="12019" stopIfTrue="1">
      <formula>AND(T3&lt;&gt;"", T3 - A2 &lt;= 14, T3 - A2 &gt; 7)</formula>
    </cfRule>
  </conditionalFormatting>
  <conditionalFormatting sqref="T3">
    <cfRule type="expression" dxfId="437" priority="12020" stopIfTrue="1">
      <formula>AND(T3&lt;&gt;"", T3 - A2 &lt;= 7, T3 - A2 &gt; 2)</formula>
    </cfRule>
  </conditionalFormatting>
  <conditionalFormatting sqref="T3">
    <cfRule type="expression" dxfId="436" priority="12021" stopIfTrue="1">
      <formula>AND(T3&lt;&gt;"", T3 - A2 &lt;= 2)</formula>
    </cfRule>
  </conditionalFormatting>
  <conditionalFormatting sqref="U3">
    <cfRule type="expression" dxfId="435" priority="12022" stopIfTrue="1">
      <formula>AND(U3&lt;&gt;"", U3 - A2 &gt; 14)</formula>
    </cfRule>
  </conditionalFormatting>
  <conditionalFormatting sqref="U3">
    <cfRule type="expression" dxfId="434" priority="12023" stopIfTrue="1">
      <formula>AND(U3&lt;&gt;"", U3 - A2 &lt;= 14, U3 - A2 &gt; 7)</formula>
    </cfRule>
  </conditionalFormatting>
  <conditionalFormatting sqref="U3">
    <cfRule type="expression" dxfId="433" priority="12024" stopIfTrue="1">
      <formula>AND(U3&lt;&gt;"", U3 - A2 &lt;= 7, U3 - A2 &gt; 2)</formula>
    </cfRule>
  </conditionalFormatting>
  <conditionalFormatting sqref="U3">
    <cfRule type="expression" dxfId="432" priority="12025" stopIfTrue="1">
      <formula>AND(U3&lt;&gt;"", U3 - A2 &lt;= 2)</formula>
    </cfRule>
  </conditionalFormatting>
  <conditionalFormatting sqref="J4">
    <cfRule type="expression" dxfId="431" priority="12026" stopIfTrue="1">
      <formula>AND(J4&lt;&gt;"", J4 - A2 &gt; 14)</formula>
    </cfRule>
  </conditionalFormatting>
  <conditionalFormatting sqref="J4">
    <cfRule type="expression" dxfId="430" priority="12027" stopIfTrue="1">
      <formula>AND(J4&lt;&gt;"", J4 - A2 &lt;= 14, J4 - A2 &gt; 7)</formula>
    </cfRule>
  </conditionalFormatting>
  <conditionalFormatting sqref="J4">
    <cfRule type="expression" dxfId="429" priority="12028" stopIfTrue="1">
      <formula>AND(J4&lt;&gt;"", J4 - A2 &lt;= 7, J4 - A2 &gt; 2)</formula>
    </cfRule>
  </conditionalFormatting>
  <conditionalFormatting sqref="J4">
    <cfRule type="expression" dxfId="428" priority="12029" stopIfTrue="1">
      <formula>AND(J4&lt;&gt;"", J4 - A2 &lt;= 2)</formula>
    </cfRule>
  </conditionalFormatting>
  <conditionalFormatting sqref="K4">
    <cfRule type="expression" dxfId="427" priority="12030" stopIfTrue="1">
      <formula>AND(K4&lt;&gt;"", K4 - A2 &gt; 14)</formula>
    </cfRule>
  </conditionalFormatting>
  <conditionalFormatting sqref="K4">
    <cfRule type="expression" dxfId="426" priority="12031" stopIfTrue="1">
      <formula>AND(K4&lt;&gt;"", K4 - A2 &lt;= 14, K4 - A2 &gt; 7)</formula>
    </cfRule>
  </conditionalFormatting>
  <conditionalFormatting sqref="K4">
    <cfRule type="expression" dxfId="425" priority="12032" stopIfTrue="1">
      <formula>AND(K4&lt;&gt;"", K4 - A2 &lt;= 7, K4 - A2 &gt; 2)</formula>
    </cfRule>
  </conditionalFormatting>
  <conditionalFormatting sqref="K4">
    <cfRule type="expression" dxfId="424" priority="12033" stopIfTrue="1">
      <formula>AND(K4&lt;&gt;"", K4 - A2 &lt;= 2)</formula>
    </cfRule>
  </conditionalFormatting>
  <conditionalFormatting sqref="L4">
    <cfRule type="expression" dxfId="423" priority="12034" stopIfTrue="1">
      <formula>AND(L4&lt;&gt;"", L4 - A2 &gt; 14)</formula>
    </cfRule>
  </conditionalFormatting>
  <conditionalFormatting sqref="L4">
    <cfRule type="expression" dxfId="422" priority="12035" stopIfTrue="1">
      <formula>AND(L4&lt;&gt;"", L4 - A2 &lt;= 14, L4 - A2 &gt; 7)</formula>
    </cfRule>
  </conditionalFormatting>
  <conditionalFormatting sqref="L4">
    <cfRule type="expression" dxfId="421" priority="12036" stopIfTrue="1">
      <formula>AND(L4&lt;&gt;"", L4 - A2 &lt;= 7, L4 - A2 &gt; 2)</formula>
    </cfRule>
  </conditionalFormatting>
  <conditionalFormatting sqref="L4">
    <cfRule type="expression" dxfId="420" priority="12037" stopIfTrue="1">
      <formula>AND(L4&lt;&gt;"", L4 - A2 &lt;= 2)</formula>
    </cfRule>
  </conditionalFormatting>
  <conditionalFormatting sqref="M4">
    <cfRule type="expression" dxfId="419" priority="12038" stopIfTrue="1">
      <formula>AND(M4&lt;&gt;"", M4 - A2 &gt; 14)</formula>
    </cfRule>
  </conditionalFormatting>
  <conditionalFormatting sqref="M4">
    <cfRule type="expression" dxfId="418" priority="12039" stopIfTrue="1">
      <formula>AND(M4&lt;&gt;"", M4 - A2 &lt;= 14, M4 - A2 &gt; 7)</formula>
    </cfRule>
  </conditionalFormatting>
  <conditionalFormatting sqref="M4">
    <cfRule type="expression" dxfId="417" priority="12040" stopIfTrue="1">
      <formula>AND(M4&lt;&gt;"", M4 - A2 &lt;= 7, M4 - A2 &gt; 2)</formula>
    </cfRule>
  </conditionalFormatting>
  <conditionalFormatting sqref="M4">
    <cfRule type="expression" dxfId="416" priority="12041" stopIfTrue="1">
      <formula>AND(M4&lt;&gt;"", M4 - A2 &lt;= 2)</formula>
    </cfRule>
  </conditionalFormatting>
  <conditionalFormatting sqref="N4">
    <cfRule type="expression" dxfId="415" priority="12042" stopIfTrue="1">
      <formula>AND(N4&lt;&gt;"", N4 - A2 &gt; 14)</formula>
    </cfRule>
  </conditionalFormatting>
  <conditionalFormatting sqref="N4">
    <cfRule type="expression" dxfId="414" priority="12043" stopIfTrue="1">
      <formula>AND(N4&lt;&gt;"", N4 - A2 &lt;= 14, N4 - A2 &gt; 7)</formula>
    </cfRule>
  </conditionalFormatting>
  <conditionalFormatting sqref="N4">
    <cfRule type="expression" dxfId="413" priority="12044" stopIfTrue="1">
      <formula>AND(N4&lt;&gt;"", N4 - A2 &lt;= 7, N4 - A2 &gt; 2)</formula>
    </cfRule>
  </conditionalFormatting>
  <conditionalFormatting sqref="N4">
    <cfRule type="expression" dxfId="412" priority="12045" stopIfTrue="1">
      <formula>AND(N4&lt;&gt;"", N4 - A2 &lt;= 2)</formula>
    </cfRule>
  </conditionalFormatting>
  <conditionalFormatting sqref="O4">
    <cfRule type="expression" dxfId="411" priority="12046" stopIfTrue="1">
      <formula>AND(O4&lt;&gt;"", O4 - A2 &gt; 14)</formula>
    </cfRule>
  </conditionalFormatting>
  <conditionalFormatting sqref="O4">
    <cfRule type="expression" dxfId="410" priority="12047" stopIfTrue="1">
      <formula>AND(O4&lt;&gt;"", O4 - A2 &lt;= 14, O4 - A2 &gt; 7)</formula>
    </cfRule>
  </conditionalFormatting>
  <conditionalFormatting sqref="O4">
    <cfRule type="expression" dxfId="409" priority="12048" stopIfTrue="1">
      <formula>AND(O4&lt;&gt;"", O4 - A2 &lt;= 7, O4 - A2 &gt; 2)</formula>
    </cfRule>
  </conditionalFormatting>
  <conditionalFormatting sqref="O4">
    <cfRule type="expression" dxfId="408" priority="12049" stopIfTrue="1">
      <formula>AND(O4&lt;&gt;"", O4 - A2 &lt;= 2)</formula>
    </cfRule>
  </conditionalFormatting>
  <conditionalFormatting sqref="P4">
    <cfRule type="expression" dxfId="407" priority="12050" stopIfTrue="1">
      <formula>AND(P4&lt;&gt;"", P4 - A2 &gt; 14)</formula>
    </cfRule>
  </conditionalFormatting>
  <conditionalFormatting sqref="P4">
    <cfRule type="expression" dxfId="406" priority="12051" stopIfTrue="1">
      <formula>AND(P4&lt;&gt;"", P4 - A2 &lt;= 14, P4 - A2 &gt; 7)</formula>
    </cfRule>
  </conditionalFormatting>
  <conditionalFormatting sqref="P4">
    <cfRule type="expression" dxfId="405" priority="12052" stopIfTrue="1">
      <formula>AND(P4&lt;&gt;"", P4 - A2 &lt;= 7, P4 - A2 &gt; 2)</formula>
    </cfRule>
  </conditionalFormatting>
  <conditionalFormatting sqref="P4">
    <cfRule type="expression" dxfId="404" priority="12053" stopIfTrue="1">
      <formula>AND(P4&lt;&gt;"", P4 - A2 &lt;= 2)</formula>
    </cfRule>
  </conditionalFormatting>
  <conditionalFormatting sqref="Q4">
    <cfRule type="expression" dxfId="403" priority="12054" stopIfTrue="1">
      <formula>AND(Q4&lt;&gt;"", Q4 - A2 &gt; 14)</formula>
    </cfRule>
  </conditionalFormatting>
  <conditionalFormatting sqref="Q4">
    <cfRule type="expression" dxfId="402" priority="12055" stopIfTrue="1">
      <formula>AND(Q4&lt;&gt;"", Q4 - A2 &lt;= 14, Q4 - A2 &gt; 7)</formula>
    </cfRule>
  </conditionalFormatting>
  <conditionalFormatting sqref="Q4">
    <cfRule type="expression" dxfId="401" priority="12056" stopIfTrue="1">
      <formula>AND(Q4&lt;&gt;"", Q4 - A2 &lt;= 7, Q4 - A2 &gt; 2)</formula>
    </cfRule>
  </conditionalFormatting>
  <conditionalFormatting sqref="Q4">
    <cfRule type="expression" dxfId="400" priority="12057" stopIfTrue="1">
      <formula>AND(Q4&lt;&gt;"", Q4 - A2 &lt;= 2)</formula>
    </cfRule>
  </conditionalFormatting>
  <conditionalFormatting sqref="R4">
    <cfRule type="expression" dxfId="399" priority="12058" stopIfTrue="1">
      <formula>AND(R4&lt;&gt;"", R4 - A2 &gt; 14)</formula>
    </cfRule>
  </conditionalFormatting>
  <conditionalFormatting sqref="R4">
    <cfRule type="expression" dxfId="398" priority="12059" stopIfTrue="1">
      <formula>AND(R4&lt;&gt;"", R4 - A2 &lt;= 14, R4 - A2 &gt; 7)</formula>
    </cfRule>
  </conditionalFormatting>
  <conditionalFormatting sqref="R4">
    <cfRule type="expression" dxfId="397" priority="12060" stopIfTrue="1">
      <formula>AND(R4&lt;&gt;"", R4 - A2 &lt;= 7, R4 - A2 &gt; 2)</formula>
    </cfRule>
  </conditionalFormatting>
  <conditionalFormatting sqref="R4">
    <cfRule type="expression" dxfId="396" priority="12061" stopIfTrue="1">
      <formula>AND(R4&lt;&gt;"", R4 - A2 &lt;= 2)</formula>
    </cfRule>
  </conditionalFormatting>
  <conditionalFormatting sqref="S4">
    <cfRule type="expression" dxfId="395" priority="12062" stopIfTrue="1">
      <formula>AND(S4&lt;&gt;"", S4 - A2 &gt; 14)</formula>
    </cfRule>
  </conditionalFormatting>
  <conditionalFormatting sqref="S4">
    <cfRule type="expression" dxfId="394" priority="12063" stopIfTrue="1">
      <formula>AND(S4&lt;&gt;"", S4 - A2 &lt;= 14, S4 - A2 &gt; 7)</formula>
    </cfRule>
  </conditionalFormatting>
  <conditionalFormatting sqref="S4">
    <cfRule type="expression" dxfId="393" priority="12064" stopIfTrue="1">
      <formula>AND(S4&lt;&gt;"", S4 - A2 &lt;= 7, S4 - A2 &gt; 2)</formula>
    </cfRule>
  </conditionalFormatting>
  <conditionalFormatting sqref="S4">
    <cfRule type="expression" dxfId="392" priority="12065" stopIfTrue="1">
      <formula>AND(S4&lt;&gt;"", S4 - A2 &lt;= 2)</formula>
    </cfRule>
  </conditionalFormatting>
  <conditionalFormatting sqref="T4">
    <cfRule type="expression" dxfId="391" priority="12066" stopIfTrue="1">
      <formula>AND(T4&lt;&gt;"", T4 - A2 &gt; 14)</formula>
    </cfRule>
  </conditionalFormatting>
  <conditionalFormatting sqref="T4">
    <cfRule type="expression" dxfId="390" priority="12067" stopIfTrue="1">
      <formula>AND(T4&lt;&gt;"", T4 - A2 &lt;= 14, T4 - A2 &gt; 7)</formula>
    </cfRule>
  </conditionalFormatting>
  <conditionalFormatting sqref="T4">
    <cfRule type="expression" dxfId="389" priority="12068" stopIfTrue="1">
      <formula>AND(T4&lt;&gt;"", T4 - A2 &lt;= 7, T4 - A2 &gt; 2)</formula>
    </cfRule>
  </conditionalFormatting>
  <conditionalFormatting sqref="T4">
    <cfRule type="expression" dxfId="388" priority="12069" stopIfTrue="1">
      <formula>AND(T4&lt;&gt;"", T4 - A2 &lt;= 2)</formula>
    </cfRule>
  </conditionalFormatting>
  <conditionalFormatting sqref="U4">
    <cfRule type="expression" dxfId="387" priority="12070" stopIfTrue="1">
      <formula>AND(U4&lt;&gt;"", U4 - A2 &gt; 14)</formula>
    </cfRule>
  </conditionalFormatting>
  <conditionalFormatting sqref="U4">
    <cfRule type="expression" dxfId="386" priority="12071" stopIfTrue="1">
      <formula>AND(U4&lt;&gt;"", U4 - A2 &lt;= 14, U4 - A2 &gt; 7)</formula>
    </cfRule>
  </conditionalFormatting>
  <conditionalFormatting sqref="U4">
    <cfRule type="expression" dxfId="385" priority="12072" stopIfTrue="1">
      <formula>AND(U4&lt;&gt;"", U4 - A2 &lt;= 7, U4 - A2 &gt; 2)</formula>
    </cfRule>
  </conditionalFormatting>
  <conditionalFormatting sqref="U4">
    <cfRule type="expression" dxfId="384" priority="12073" stopIfTrue="1">
      <formula>AND(U4&lt;&gt;"", U4 - A2 &lt;= 2)</formula>
    </cfRule>
  </conditionalFormatting>
  <conditionalFormatting sqref="J5">
    <cfRule type="expression" dxfId="383" priority="12074" stopIfTrue="1">
      <formula>AND(J5&lt;&gt;"", J5 - A2 &gt; 14)</formula>
    </cfRule>
  </conditionalFormatting>
  <conditionalFormatting sqref="J5">
    <cfRule type="expression" dxfId="382" priority="12075" stopIfTrue="1">
      <formula>AND(J5&lt;&gt;"", J5 - A2 &lt;= 14, J5 - A2 &gt; 7)</formula>
    </cfRule>
  </conditionalFormatting>
  <conditionalFormatting sqref="J5">
    <cfRule type="expression" dxfId="381" priority="12076" stopIfTrue="1">
      <formula>AND(J5&lt;&gt;"", J5 - A2 &lt;= 7, J5 - A2 &gt; 2)</formula>
    </cfRule>
  </conditionalFormatting>
  <conditionalFormatting sqref="J5">
    <cfRule type="expression" dxfId="380" priority="12077" stopIfTrue="1">
      <formula>AND(J5&lt;&gt;"", J5 - A2 &lt;= 2)</formula>
    </cfRule>
  </conditionalFormatting>
  <conditionalFormatting sqref="K5">
    <cfRule type="expression" dxfId="379" priority="12078" stopIfTrue="1">
      <formula>AND(K5&lt;&gt;"", K5 - A2 &gt; 14)</formula>
    </cfRule>
  </conditionalFormatting>
  <conditionalFormatting sqref="K5">
    <cfRule type="expression" dxfId="378" priority="12079" stopIfTrue="1">
      <formula>AND(K5&lt;&gt;"", K5 - A2 &lt;= 14, K5 - A2 &gt; 7)</formula>
    </cfRule>
  </conditionalFormatting>
  <conditionalFormatting sqref="K5">
    <cfRule type="expression" dxfId="377" priority="12080" stopIfTrue="1">
      <formula>AND(K5&lt;&gt;"", K5 - A2 &lt;= 7, K5 - A2 &gt; 2)</formula>
    </cfRule>
  </conditionalFormatting>
  <conditionalFormatting sqref="K5">
    <cfRule type="expression" dxfId="376" priority="12081" stopIfTrue="1">
      <formula>AND(K5&lt;&gt;"", K5 - A2 &lt;= 2)</formula>
    </cfRule>
  </conditionalFormatting>
  <conditionalFormatting sqref="L5">
    <cfRule type="expression" dxfId="375" priority="12082" stopIfTrue="1">
      <formula>AND(L5&lt;&gt;"", L5 - A2 &gt; 14)</formula>
    </cfRule>
  </conditionalFormatting>
  <conditionalFormatting sqref="L5">
    <cfRule type="expression" dxfId="374" priority="12083" stopIfTrue="1">
      <formula>AND(L5&lt;&gt;"", L5 - A2 &lt;= 14, L5 - A2 &gt; 7)</formula>
    </cfRule>
  </conditionalFormatting>
  <conditionalFormatting sqref="L5">
    <cfRule type="expression" dxfId="373" priority="12084" stopIfTrue="1">
      <formula>AND(L5&lt;&gt;"", L5 - A2 &lt;= 7, L5 - A2 &gt; 2)</formula>
    </cfRule>
  </conditionalFormatting>
  <conditionalFormatting sqref="L5">
    <cfRule type="expression" dxfId="372" priority="12085" stopIfTrue="1">
      <formula>AND(L5&lt;&gt;"", L5 - A2 &lt;= 2)</formula>
    </cfRule>
  </conditionalFormatting>
  <conditionalFormatting sqref="M5">
    <cfRule type="expression" dxfId="371" priority="12086" stopIfTrue="1">
      <formula>AND(M5&lt;&gt;"", M5 - A2 &gt; 14)</formula>
    </cfRule>
  </conditionalFormatting>
  <conditionalFormatting sqref="M5">
    <cfRule type="expression" dxfId="370" priority="12087" stopIfTrue="1">
      <formula>AND(M5&lt;&gt;"", M5 - A2 &lt;= 14, M5 - A2 &gt; 7)</formula>
    </cfRule>
  </conditionalFormatting>
  <conditionalFormatting sqref="M5">
    <cfRule type="expression" dxfId="369" priority="12088" stopIfTrue="1">
      <formula>AND(M5&lt;&gt;"", M5 - A2 &lt;= 7, M5 - A2 &gt; 2)</formula>
    </cfRule>
  </conditionalFormatting>
  <conditionalFormatting sqref="M5">
    <cfRule type="expression" dxfId="368" priority="12089" stopIfTrue="1">
      <formula>AND(M5&lt;&gt;"", M5 - A2 &lt;= 2)</formula>
    </cfRule>
  </conditionalFormatting>
  <conditionalFormatting sqref="N5">
    <cfRule type="expression" dxfId="367" priority="12090" stopIfTrue="1">
      <formula>AND(N5&lt;&gt;"", N5 - A2 &gt; 14)</formula>
    </cfRule>
  </conditionalFormatting>
  <conditionalFormatting sqref="N5">
    <cfRule type="expression" dxfId="366" priority="12091" stopIfTrue="1">
      <formula>AND(N5&lt;&gt;"", N5 - A2 &lt;= 14, N5 - A2 &gt; 7)</formula>
    </cfRule>
  </conditionalFormatting>
  <conditionalFormatting sqref="N5">
    <cfRule type="expression" dxfId="365" priority="12092" stopIfTrue="1">
      <formula>AND(N5&lt;&gt;"", N5 - A2 &lt;= 7, N5 - A2 &gt; 2)</formula>
    </cfRule>
  </conditionalFormatting>
  <conditionalFormatting sqref="N5">
    <cfRule type="expression" dxfId="364" priority="12093" stopIfTrue="1">
      <formula>AND(N5&lt;&gt;"", N5 - A2 &lt;= 2)</formula>
    </cfRule>
  </conditionalFormatting>
  <conditionalFormatting sqref="O5">
    <cfRule type="expression" dxfId="363" priority="12094" stopIfTrue="1">
      <formula>AND(O5&lt;&gt;"", O5 - A2 &gt; 14)</formula>
    </cfRule>
  </conditionalFormatting>
  <conditionalFormatting sqref="O5">
    <cfRule type="expression" dxfId="362" priority="12095" stopIfTrue="1">
      <formula>AND(O5&lt;&gt;"", O5 - A2 &lt;= 14, O5 - A2 &gt; 7)</formula>
    </cfRule>
  </conditionalFormatting>
  <conditionalFormatting sqref="O5">
    <cfRule type="expression" dxfId="361" priority="12096" stopIfTrue="1">
      <formula>AND(O5&lt;&gt;"", O5 - A2 &lt;= 7, O5 - A2 &gt; 2)</formula>
    </cfRule>
  </conditionalFormatting>
  <conditionalFormatting sqref="O5">
    <cfRule type="expression" dxfId="360" priority="12097" stopIfTrue="1">
      <formula>AND(O5&lt;&gt;"", O5 - A2 &lt;= 2)</formula>
    </cfRule>
  </conditionalFormatting>
  <conditionalFormatting sqref="P5">
    <cfRule type="expression" dxfId="359" priority="12098" stopIfTrue="1">
      <formula>AND(P5&lt;&gt;"", P5 - A2 &gt; 14)</formula>
    </cfRule>
  </conditionalFormatting>
  <conditionalFormatting sqref="P5">
    <cfRule type="expression" dxfId="358" priority="12099" stopIfTrue="1">
      <formula>AND(P5&lt;&gt;"", P5 - A2 &lt;= 14, P5 - A2 &gt; 7)</formula>
    </cfRule>
  </conditionalFormatting>
  <conditionalFormatting sqref="P5">
    <cfRule type="expression" dxfId="357" priority="12100" stopIfTrue="1">
      <formula>AND(P5&lt;&gt;"", P5 - A2 &lt;= 7, P5 - A2 &gt; 2)</formula>
    </cfRule>
  </conditionalFormatting>
  <conditionalFormatting sqref="P5">
    <cfRule type="expression" dxfId="356" priority="12101" stopIfTrue="1">
      <formula>AND(P5&lt;&gt;"", P5 - A2 &lt;= 2)</formula>
    </cfRule>
  </conditionalFormatting>
  <conditionalFormatting sqref="Q5">
    <cfRule type="expression" dxfId="355" priority="12102" stopIfTrue="1">
      <formula>AND(Q5&lt;&gt;"", Q5 - A2 &gt; 14)</formula>
    </cfRule>
  </conditionalFormatting>
  <conditionalFormatting sqref="Q5">
    <cfRule type="expression" dxfId="354" priority="12103" stopIfTrue="1">
      <formula>AND(Q5&lt;&gt;"", Q5 - A2 &lt;= 14, Q5 - A2 &gt; 7)</formula>
    </cfRule>
  </conditionalFormatting>
  <conditionalFormatting sqref="Q5">
    <cfRule type="expression" dxfId="353" priority="12104" stopIfTrue="1">
      <formula>AND(Q5&lt;&gt;"", Q5 - A2 &lt;= 7, Q5 - A2 &gt; 2)</formula>
    </cfRule>
  </conditionalFormatting>
  <conditionalFormatting sqref="Q5">
    <cfRule type="expression" dxfId="352" priority="12105" stopIfTrue="1">
      <formula>AND(Q5&lt;&gt;"", Q5 - A2 &lt;= 2)</formula>
    </cfRule>
  </conditionalFormatting>
  <conditionalFormatting sqref="R5">
    <cfRule type="expression" dxfId="351" priority="12106" stopIfTrue="1">
      <formula>AND(R5&lt;&gt;"", R5 - A2 &gt; 14)</formula>
    </cfRule>
  </conditionalFormatting>
  <conditionalFormatting sqref="R5">
    <cfRule type="expression" dxfId="350" priority="12107" stopIfTrue="1">
      <formula>AND(R5&lt;&gt;"", R5 - A2 &lt;= 14, R5 - A2 &gt; 7)</formula>
    </cfRule>
  </conditionalFormatting>
  <conditionalFormatting sqref="R5">
    <cfRule type="expression" dxfId="349" priority="12108" stopIfTrue="1">
      <formula>AND(R5&lt;&gt;"", R5 - A2 &lt;= 7, R5 - A2 &gt; 2)</formula>
    </cfRule>
  </conditionalFormatting>
  <conditionalFormatting sqref="R5">
    <cfRule type="expression" dxfId="348" priority="12109" stopIfTrue="1">
      <formula>AND(R5&lt;&gt;"", R5 - A2 &lt;= 2)</formula>
    </cfRule>
  </conditionalFormatting>
  <conditionalFormatting sqref="S5">
    <cfRule type="expression" dxfId="347" priority="12110" stopIfTrue="1">
      <formula>AND(S5&lt;&gt;"", S5 - A2 &gt; 14)</formula>
    </cfRule>
  </conditionalFormatting>
  <conditionalFormatting sqref="S5">
    <cfRule type="expression" dxfId="346" priority="12111" stopIfTrue="1">
      <formula>AND(S5&lt;&gt;"", S5 - A2 &lt;= 14, S5 - A2 &gt; 7)</formula>
    </cfRule>
  </conditionalFormatting>
  <conditionalFormatting sqref="S5">
    <cfRule type="expression" dxfId="345" priority="12112" stopIfTrue="1">
      <formula>AND(S5&lt;&gt;"", S5 - A2 &lt;= 7, S5 - A2 &gt; 2)</formula>
    </cfRule>
  </conditionalFormatting>
  <conditionalFormatting sqref="S5">
    <cfRule type="expression" dxfId="344" priority="12113" stopIfTrue="1">
      <formula>AND(S5&lt;&gt;"", S5 - A2 &lt;= 2)</formula>
    </cfRule>
  </conditionalFormatting>
  <conditionalFormatting sqref="T5">
    <cfRule type="expression" dxfId="343" priority="12114" stopIfTrue="1">
      <formula>AND(T5&lt;&gt;"", T5 - A2 &gt; 14)</formula>
    </cfRule>
  </conditionalFormatting>
  <conditionalFormatting sqref="T5">
    <cfRule type="expression" dxfId="342" priority="12115" stopIfTrue="1">
      <formula>AND(T5&lt;&gt;"", T5 - A2 &lt;= 14, T5 - A2 &gt; 7)</formula>
    </cfRule>
  </conditionalFormatting>
  <conditionalFormatting sqref="T5">
    <cfRule type="expression" dxfId="341" priority="12116" stopIfTrue="1">
      <formula>AND(T5&lt;&gt;"", T5 - A2 &lt;= 7, T5 - A2 &gt; 2)</formula>
    </cfRule>
  </conditionalFormatting>
  <conditionalFormatting sqref="T5">
    <cfRule type="expression" dxfId="340" priority="12117" stopIfTrue="1">
      <formula>AND(T5&lt;&gt;"", T5 - A2 &lt;= 2)</formula>
    </cfRule>
  </conditionalFormatting>
  <conditionalFormatting sqref="U5">
    <cfRule type="expression" dxfId="339" priority="12118" stopIfTrue="1">
      <formula>AND(U5&lt;&gt;"", U5 - A2 &gt; 14)</formula>
    </cfRule>
  </conditionalFormatting>
  <conditionalFormatting sqref="U5">
    <cfRule type="expression" dxfId="338" priority="12119" stopIfTrue="1">
      <formula>AND(U5&lt;&gt;"", U5 - A2 &lt;= 14, U5 - A2 &gt; 7)</formula>
    </cfRule>
  </conditionalFormatting>
  <conditionalFormatting sqref="U5">
    <cfRule type="expression" dxfId="337" priority="12120" stopIfTrue="1">
      <formula>AND(U5&lt;&gt;"", U5 - A2 &lt;= 7, U5 - A2 &gt; 2)</formula>
    </cfRule>
  </conditionalFormatting>
  <conditionalFormatting sqref="U5">
    <cfRule type="expression" dxfId="336" priority="12121" stopIfTrue="1">
      <formula>AND(U5&lt;&gt;"", U5 - A2 &lt;= 2)</formula>
    </cfRule>
  </conditionalFormatting>
  <conditionalFormatting sqref="J7">
    <cfRule type="expression" dxfId="335" priority="12122" stopIfTrue="1">
      <formula>AND(J7&lt;&gt;"", J7 - A2 &gt; 14)</formula>
    </cfRule>
  </conditionalFormatting>
  <conditionalFormatting sqref="J7">
    <cfRule type="expression" dxfId="334" priority="12123" stopIfTrue="1">
      <formula>AND(J7&lt;&gt;"", J7 - A2 &lt;= 14, J7 - A2 &gt; 7)</formula>
    </cfRule>
  </conditionalFormatting>
  <conditionalFormatting sqref="J7">
    <cfRule type="expression" dxfId="333" priority="12124" stopIfTrue="1">
      <formula>AND(J7&lt;&gt;"", J7 - A2 &lt;= 7, J7 - A2 &gt; 2)</formula>
    </cfRule>
  </conditionalFormatting>
  <conditionalFormatting sqref="J7">
    <cfRule type="expression" dxfId="332" priority="12125" stopIfTrue="1">
      <formula>AND(J7&lt;&gt;"", J7 - A2 &lt;= 2)</formula>
    </cfRule>
  </conditionalFormatting>
  <conditionalFormatting sqref="K7">
    <cfRule type="expression" dxfId="331" priority="12126" stopIfTrue="1">
      <formula>AND(K7&lt;&gt;"", K7 - A2 &gt; 14)</formula>
    </cfRule>
  </conditionalFormatting>
  <conditionalFormatting sqref="K7">
    <cfRule type="expression" dxfId="330" priority="12127" stopIfTrue="1">
      <formula>AND(K7&lt;&gt;"", K7 - A2 &lt;= 14, K7 - A2 &gt; 7)</formula>
    </cfRule>
  </conditionalFormatting>
  <conditionalFormatting sqref="K7">
    <cfRule type="expression" dxfId="329" priority="12128" stopIfTrue="1">
      <formula>AND(K7&lt;&gt;"", K7 - A2 &lt;= 7, K7 - A2 &gt; 2)</formula>
    </cfRule>
  </conditionalFormatting>
  <conditionalFormatting sqref="K7">
    <cfRule type="expression" dxfId="328" priority="12129" stopIfTrue="1">
      <formula>AND(K7&lt;&gt;"", K7 - A2 &lt;= 2)</formula>
    </cfRule>
  </conditionalFormatting>
  <conditionalFormatting sqref="L7">
    <cfRule type="expression" dxfId="327" priority="12130" stopIfTrue="1">
      <formula>AND(L7&lt;&gt;"", L7 - A2 &gt; 14)</formula>
    </cfRule>
  </conditionalFormatting>
  <conditionalFormatting sqref="L7">
    <cfRule type="expression" dxfId="326" priority="12131" stopIfTrue="1">
      <formula>AND(L7&lt;&gt;"", L7 - A2 &lt;= 14, L7 - A2 &gt; 7)</formula>
    </cfRule>
  </conditionalFormatting>
  <conditionalFormatting sqref="L7">
    <cfRule type="expression" dxfId="325" priority="12132" stopIfTrue="1">
      <formula>AND(L7&lt;&gt;"", L7 - A2 &lt;= 7, L7 - A2 &gt; 2)</formula>
    </cfRule>
  </conditionalFormatting>
  <conditionalFormatting sqref="L7">
    <cfRule type="expression" dxfId="324" priority="12133" stopIfTrue="1">
      <formula>AND(L7&lt;&gt;"", L7 - A2 &lt;= 2)</formula>
    </cfRule>
  </conditionalFormatting>
  <conditionalFormatting sqref="M7">
    <cfRule type="expression" dxfId="323" priority="12134" stopIfTrue="1">
      <formula>AND(M7&lt;&gt;"", M7 - A2 &gt; 14)</formula>
    </cfRule>
  </conditionalFormatting>
  <conditionalFormatting sqref="M7">
    <cfRule type="expression" dxfId="322" priority="12135" stopIfTrue="1">
      <formula>AND(M7&lt;&gt;"", M7 - A2 &lt;= 14, M7 - A2 &gt; 7)</formula>
    </cfRule>
  </conditionalFormatting>
  <conditionalFormatting sqref="M7">
    <cfRule type="expression" dxfId="321" priority="12136" stopIfTrue="1">
      <formula>AND(M7&lt;&gt;"", M7 - A2 &lt;= 7, M7 - A2 &gt; 2)</formula>
    </cfRule>
  </conditionalFormatting>
  <conditionalFormatting sqref="M7">
    <cfRule type="expression" dxfId="320" priority="12137" stopIfTrue="1">
      <formula>AND(M7&lt;&gt;"", M7 - A2 &lt;= 2)</formula>
    </cfRule>
  </conditionalFormatting>
  <conditionalFormatting sqref="N7">
    <cfRule type="expression" dxfId="319" priority="12138" stopIfTrue="1">
      <formula>AND(N7&lt;&gt;"", N7 - A2 &gt; 14)</formula>
    </cfRule>
  </conditionalFormatting>
  <conditionalFormatting sqref="N7">
    <cfRule type="expression" dxfId="318" priority="12139" stopIfTrue="1">
      <formula>AND(N7&lt;&gt;"", N7 - A2 &lt;= 14, N7 - A2 &gt; 7)</formula>
    </cfRule>
  </conditionalFormatting>
  <conditionalFormatting sqref="N7">
    <cfRule type="expression" dxfId="317" priority="12140" stopIfTrue="1">
      <formula>AND(N7&lt;&gt;"", N7 - A2 &lt;= 7, N7 - A2 &gt; 2)</formula>
    </cfRule>
  </conditionalFormatting>
  <conditionalFormatting sqref="N7">
    <cfRule type="expression" dxfId="316" priority="12141" stopIfTrue="1">
      <formula>AND(N7&lt;&gt;"", N7 - A2 &lt;= 2)</formula>
    </cfRule>
  </conditionalFormatting>
  <conditionalFormatting sqref="O7">
    <cfRule type="expression" dxfId="315" priority="12142" stopIfTrue="1">
      <formula>AND(O7&lt;&gt;"", O7 - A2 &gt; 14)</formula>
    </cfRule>
  </conditionalFormatting>
  <conditionalFormatting sqref="O7">
    <cfRule type="expression" dxfId="314" priority="12143" stopIfTrue="1">
      <formula>AND(O7&lt;&gt;"", O7 - A2 &lt;= 14, O7 - A2 &gt; 7)</formula>
    </cfRule>
  </conditionalFormatting>
  <conditionalFormatting sqref="O7">
    <cfRule type="expression" dxfId="313" priority="12144" stopIfTrue="1">
      <formula>AND(O7&lt;&gt;"", O7 - A2 &lt;= 7, O7 - A2 &gt; 2)</formula>
    </cfRule>
  </conditionalFormatting>
  <conditionalFormatting sqref="O7">
    <cfRule type="expression" dxfId="312" priority="12145" stopIfTrue="1">
      <formula>AND(O7&lt;&gt;"", O7 - A2 &lt;= 2)</formula>
    </cfRule>
  </conditionalFormatting>
  <conditionalFormatting sqref="P7">
    <cfRule type="expression" dxfId="311" priority="12146" stopIfTrue="1">
      <formula>AND(P7&lt;&gt;"", P7 - A2 &gt; 14)</formula>
    </cfRule>
  </conditionalFormatting>
  <conditionalFormatting sqref="P7">
    <cfRule type="expression" dxfId="310" priority="12147" stopIfTrue="1">
      <formula>AND(P7&lt;&gt;"", P7 - A2 &lt;= 14, P7 - A2 &gt; 7)</formula>
    </cfRule>
  </conditionalFormatting>
  <conditionalFormatting sqref="P7">
    <cfRule type="expression" dxfId="309" priority="12148" stopIfTrue="1">
      <formula>AND(P7&lt;&gt;"", P7 - A2 &lt;= 7, P7 - A2 &gt; 2)</formula>
    </cfRule>
  </conditionalFormatting>
  <conditionalFormatting sqref="P7">
    <cfRule type="expression" dxfId="308" priority="12149" stopIfTrue="1">
      <formula>AND(P7&lt;&gt;"", P7 - A2 &lt;= 2)</formula>
    </cfRule>
  </conditionalFormatting>
  <conditionalFormatting sqref="Q7">
    <cfRule type="expression" dxfId="307" priority="12150" stopIfTrue="1">
      <formula>AND(Q7&lt;&gt;"", Q7 - A2 &gt; 14)</formula>
    </cfRule>
  </conditionalFormatting>
  <conditionalFormatting sqref="Q7">
    <cfRule type="expression" dxfId="306" priority="12151" stopIfTrue="1">
      <formula>AND(Q7&lt;&gt;"", Q7 - A2 &lt;= 14, Q7 - A2 &gt; 7)</formula>
    </cfRule>
  </conditionalFormatting>
  <conditionalFormatting sqref="Q7">
    <cfRule type="expression" dxfId="305" priority="12152" stopIfTrue="1">
      <formula>AND(Q7&lt;&gt;"", Q7 - A2 &lt;= 7, Q7 - A2 &gt; 2)</formula>
    </cfRule>
  </conditionalFormatting>
  <conditionalFormatting sqref="Q7">
    <cfRule type="expression" dxfId="304" priority="12153" stopIfTrue="1">
      <formula>AND(Q7&lt;&gt;"", Q7 - A2 &lt;= 2)</formula>
    </cfRule>
  </conditionalFormatting>
  <conditionalFormatting sqref="R7">
    <cfRule type="expression" dxfId="303" priority="12154" stopIfTrue="1">
      <formula>AND(R7&lt;&gt;"", R7 - A2 &gt; 14)</formula>
    </cfRule>
  </conditionalFormatting>
  <conditionalFormatting sqref="R7">
    <cfRule type="expression" dxfId="302" priority="12155" stopIfTrue="1">
      <formula>AND(R7&lt;&gt;"", R7 - A2 &lt;= 14, R7 - A2 &gt; 7)</formula>
    </cfRule>
  </conditionalFormatting>
  <conditionalFormatting sqref="R7">
    <cfRule type="expression" dxfId="301" priority="12156" stopIfTrue="1">
      <formula>AND(R7&lt;&gt;"", R7 - A2 &lt;= 7, R7 - A2 &gt; 2)</formula>
    </cfRule>
  </conditionalFormatting>
  <conditionalFormatting sqref="R7">
    <cfRule type="expression" dxfId="300" priority="12157" stopIfTrue="1">
      <formula>AND(R7&lt;&gt;"", R7 - A2 &lt;= 2)</formula>
    </cfRule>
  </conditionalFormatting>
  <conditionalFormatting sqref="S7">
    <cfRule type="expression" dxfId="299" priority="12158" stopIfTrue="1">
      <formula>AND(S7&lt;&gt;"", S7 - A2 &gt; 14)</formula>
    </cfRule>
  </conditionalFormatting>
  <conditionalFormatting sqref="S7">
    <cfRule type="expression" dxfId="298" priority="12159" stopIfTrue="1">
      <formula>AND(S7&lt;&gt;"", S7 - A2 &lt;= 14, S7 - A2 &gt; 7)</formula>
    </cfRule>
  </conditionalFormatting>
  <conditionalFormatting sqref="S7">
    <cfRule type="expression" dxfId="297" priority="12160" stopIfTrue="1">
      <formula>AND(S7&lt;&gt;"", S7 - A2 &lt;= 7, S7 - A2 &gt; 2)</formula>
    </cfRule>
  </conditionalFormatting>
  <conditionalFormatting sqref="S7">
    <cfRule type="expression" dxfId="296" priority="12161" stopIfTrue="1">
      <formula>AND(S7&lt;&gt;"", S7 - A2 &lt;= 2)</formula>
    </cfRule>
  </conditionalFormatting>
  <conditionalFormatting sqref="T7">
    <cfRule type="expression" dxfId="295" priority="12162" stopIfTrue="1">
      <formula>AND(T7&lt;&gt;"", T7 - A2 &gt; 14)</formula>
    </cfRule>
  </conditionalFormatting>
  <conditionalFormatting sqref="T7">
    <cfRule type="expression" dxfId="294" priority="12163" stopIfTrue="1">
      <formula>AND(T7&lt;&gt;"", T7 - A2 &lt;= 14, T7 - A2 &gt; 7)</formula>
    </cfRule>
  </conditionalFormatting>
  <conditionalFormatting sqref="T7">
    <cfRule type="expression" dxfId="293" priority="12164" stopIfTrue="1">
      <formula>AND(T7&lt;&gt;"", T7 - A2 &lt;= 7, T7 - A2 &gt; 2)</formula>
    </cfRule>
  </conditionalFormatting>
  <conditionalFormatting sqref="T7">
    <cfRule type="expression" dxfId="292" priority="12165" stopIfTrue="1">
      <formula>AND(T7&lt;&gt;"", T7 - A2 &lt;= 2)</formula>
    </cfRule>
  </conditionalFormatting>
  <conditionalFormatting sqref="U7">
    <cfRule type="expression" dxfId="291" priority="12166" stopIfTrue="1">
      <formula>AND(U7&lt;&gt;"", U7 - A2 &gt; 14)</formula>
    </cfRule>
  </conditionalFormatting>
  <conditionalFormatting sqref="U7">
    <cfRule type="expression" dxfId="290" priority="12167" stopIfTrue="1">
      <formula>AND(U7&lt;&gt;"", U7 - A2 &lt;= 14, U7 - A2 &gt; 7)</formula>
    </cfRule>
  </conditionalFormatting>
  <conditionalFormatting sqref="U7">
    <cfRule type="expression" dxfId="289" priority="12168" stopIfTrue="1">
      <formula>AND(U7&lt;&gt;"", U7 - A2 &lt;= 7, U7 - A2 &gt; 2)</formula>
    </cfRule>
  </conditionalFormatting>
  <conditionalFormatting sqref="U7">
    <cfRule type="expression" dxfId="288" priority="12169" stopIfTrue="1">
      <formula>AND(U7&lt;&gt;"", U7 - A2 &lt;= 2)</formula>
    </cfRule>
  </conditionalFormatting>
  <conditionalFormatting sqref="J11">
    <cfRule type="expression" dxfId="287" priority="12170" stopIfTrue="1">
      <formula>AND(J11&lt;&gt;"", J11 - A2 &gt; 14)</formula>
    </cfRule>
  </conditionalFormatting>
  <conditionalFormatting sqref="J11">
    <cfRule type="expression" dxfId="286" priority="12171" stopIfTrue="1">
      <formula>AND(J11&lt;&gt;"", J11 - A2 &lt;= 14, J11 - A2 &gt; 7)</formula>
    </cfRule>
  </conditionalFormatting>
  <conditionalFormatting sqref="J11">
    <cfRule type="expression" dxfId="285" priority="12172" stopIfTrue="1">
      <formula>AND(J11&lt;&gt;"", J11 - A2 &lt;= 7, J11 - A2 &gt; 2)</formula>
    </cfRule>
  </conditionalFormatting>
  <conditionalFormatting sqref="J11">
    <cfRule type="expression" dxfId="284" priority="12173" stopIfTrue="1">
      <formula>AND(J11&lt;&gt;"", J11 - A2 &lt;= 2)</formula>
    </cfRule>
  </conditionalFormatting>
  <conditionalFormatting sqref="K11">
    <cfRule type="expression" dxfId="283" priority="12174" stopIfTrue="1">
      <formula>AND(K11&lt;&gt;"", K11 - A2 &gt; 14)</formula>
    </cfRule>
  </conditionalFormatting>
  <conditionalFormatting sqref="K11">
    <cfRule type="expression" dxfId="282" priority="12175" stopIfTrue="1">
      <formula>AND(K11&lt;&gt;"", K11 - A2 &lt;= 14, K11 - A2 &gt; 7)</formula>
    </cfRule>
  </conditionalFormatting>
  <conditionalFormatting sqref="K11">
    <cfRule type="expression" dxfId="281" priority="12176" stopIfTrue="1">
      <formula>AND(K11&lt;&gt;"", K11 - A2 &lt;= 7, K11 - A2 &gt; 2)</formula>
    </cfRule>
  </conditionalFormatting>
  <conditionalFormatting sqref="K11">
    <cfRule type="expression" dxfId="280" priority="12177" stopIfTrue="1">
      <formula>AND(K11&lt;&gt;"", K11 - A2 &lt;= 2)</formula>
    </cfRule>
  </conditionalFormatting>
  <conditionalFormatting sqref="L11">
    <cfRule type="expression" dxfId="279" priority="12178" stopIfTrue="1">
      <formula>AND(L11&lt;&gt;"", L11 - A2 &gt; 14)</formula>
    </cfRule>
  </conditionalFormatting>
  <conditionalFormatting sqref="L11">
    <cfRule type="expression" dxfId="278" priority="12179" stopIfTrue="1">
      <formula>AND(L11&lt;&gt;"", L11 - A2 &lt;= 14, L11 - A2 &gt; 7)</formula>
    </cfRule>
  </conditionalFormatting>
  <conditionalFormatting sqref="L11">
    <cfRule type="expression" dxfId="277" priority="12180" stopIfTrue="1">
      <formula>AND(L11&lt;&gt;"", L11 - A2 &lt;= 7, L11 - A2 &gt; 2)</formula>
    </cfRule>
  </conditionalFormatting>
  <conditionalFormatting sqref="L11">
    <cfRule type="expression" dxfId="276" priority="12181" stopIfTrue="1">
      <formula>AND(L11&lt;&gt;"", L11 - A2 &lt;= 2)</formula>
    </cfRule>
  </conditionalFormatting>
  <conditionalFormatting sqref="M11">
    <cfRule type="expression" dxfId="275" priority="12182" stopIfTrue="1">
      <formula>AND(M11&lt;&gt;"", M11 - A2 &gt; 14)</formula>
    </cfRule>
  </conditionalFormatting>
  <conditionalFormatting sqref="M11">
    <cfRule type="expression" dxfId="274" priority="12183" stopIfTrue="1">
      <formula>AND(M11&lt;&gt;"", M11 - A2 &lt;= 14, M11 - A2 &gt; 7)</formula>
    </cfRule>
  </conditionalFormatting>
  <conditionalFormatting sqref="M11">
    <cfRule type="expression" dxfId="273" priority="12184" stopIfTrue="1">
      <formula>AND(M11&lt;&gt;"", M11 - A2 &lt;= 7, M11 - A2 &gt; 2)</formula>
    </cfRule>
  </conditionalFormatting>
  <conditionalFormatting sqref="M11">
    <cfRule type="expression" dxfId="272" priority="12185" stopIfTrue="1">
      <formula>AND(M11&lt;&gt;"", M11 - A2 &lt;= 2)</formula>
    </cfRule>
  </conditionalFormatting>
  <conditionalFormatting sqref="N11">
    <cfRule type="expression" dxfId="271" priority="12186" stopIfTrue="1">
      <formula>AND(N11&lt;&gt;"", N11 - A2 &gt; 14)</formula>
    </cfRule>
  </conditionalFormatting>
  <conditionalFormatting sqref="N11">
    <cfRule type="expression" dxfId="270" priority="12187" stopIfTrue="1">
      <formula>AND(N11&lt;&gt;"", N11 - A2 &lt;= 14, N11 - A2 &gt; 7)</formula>
    </cfRule>
  </conditionalFormatting>
  <conditionalFormatting sqref="N11">
    <cfRule type="expression" dxfId="269" priority="12188" stopIfTrue="1">
      <formula>AND(N11&lt;&gt;"", N11 - A2 &lt;= 7, N11 - A2 &gt; 2)</formula>
    </cfRule>
  </conditionalFormatting>
  <conditionalFormatting sqref="N11">
    <cfRule type="expression" dxfId="268" priority="12189" stopIfTrue="1">
      <formula>AND(N11&lt;&gt;"", N11 - A2 &lt;= 2)</formula>
    </cfRule>
  </conditionalFormatting>
  <conditionalFormatting sqref="O11">
    <cfRule type="expression" dxfId="267" priority="12190" stopIfTrue="1">
      <formula>AND(O11&lt;&gt;"", O11 - A2 &gt; 14)</formula>
    </cfRule>
  </conditionalFormatting>
  <conditionalFormatting sqref="O11">
    <cfRule type="expression" dxfId="266" priority="12191" stopIfTrue="1">
      <formula>AND(O11&lt;&gt;"", O11 - A2 &lt;= 14, O11 - A2 &gt; 7)</formula>
    </cfRule>
  </conditionalFormatting>
  <conditionalFormatting sqref="O11">
    <cfRule type="expression" dxfId="265" priority="12192" stopIfTrue="1">
      <formula>AND(O11&lt;&gt;"", O11 - A2 &lt;= 7, O11 - A2 &gt; 2)</formula>
    </cfRule>
  </conditionalFormatting>
  <conditionalFormatting sqref="O11">
    <cfRule type="expression" dxfId="264" priority="12193" stopIfTrue="1">
      <formula>AND(O11&lt;&gt;"", O11 - A2 &lt;= 2)</formula>
    </cfRule>
  </conditionalFormatting>
  <conditionalFormatting sqref="P11">
    <cfRule type="expression" dxfId="263" priority="12194" stopIfTrue="1">
      <formula>AND(P11&lt;&gt;"", P11 - A2 &gt; 14)</formula>
    </cfRule>
  </conditionalFormatting>
  <conditionalFormatting sqref="P11">
    <cfRule type="expression" dxfId="262" priority="12195" stopIfTrue="1">
      <formula>AND(P11&lt;&gt;"", P11 - A2 &lt;= 14, P11 - A2 &gt; 7)</formula>
    </cfRule>
  </conditionalFormatting>
  <conditionalFormatting sqref="P11">
    <cfRule type="expression" dxfId="261" priority="12196" stopIfTrue="1">
      <formula>AND(P11&lt;&gt;"", P11 - A2 &lt;= 7, P11 - A2 &gt; 2)</formula>
    </cfRule>
  </conditionalFormatting>
  <conditionalFormatting sqref="P11">
    <cfRule type="expression" dxfId="260" priority="12197" stopIfTrue="1">
      <formula>AND(P11&lt;&gt;"", P11 - A2 &lt;= 2)</formula>
    </cfRule>
  </conditionalFormatting>
  <conditionalFormatting sqref="Q11">
    <cfRule type="expression" dxfId="259" priority="12198" stopIfTrue="1">
      <formula>AND(Q11&lt;&gt;"", Q11 - A2 &gt; 14)</formula>
    </cfRule>
  </conditionalFormatting>
  <conditionalFormatting sqref="Q11">
    <cfRule type="expression" dxfId="258" priority="12199" stopIfTrue="1">
      <formula>AND(Q11&lt;&gt;"", Q11 - A2 &lt;= 14, Q11 - A2 &gt; 7)</formula>
    </cfRule>
  </conditionalFormatting>
  <conditionalFormatting sqref="Q11">
    <cfRule type="expression" dxfId="257" priority="12200" stopIfTrue="1">
      <formula>AND(Q11&lt;&gt;"", Q11 - A2 &lt;= 7, Q11 - A2 &gt; 2)</formula>
    </cfRule>
  </conditionalFormatting>
  <conditionalFormatting sqref="Q11">
    <cfRule type="expression" dxfId="256" priority="12201" stopIfTrue="1">
      <formula>AND(Q11&lt;&gt;"", Q11 - A2 &lt;= 2)</formula>
    </cfRule>
  </conditionalFormatting>
  <conditionalFormatting sqref="R11">
    <cfRule type="expression" dxfId="255" priority="12202" stopIfTrue="1">
      <formula>AND(R11&lt;&gt;"", R11 - A2 &gt; 14)</formula>
    </cfRule>
  </conditionalFormatting>
  <conditionalFormatting sqref="R11">
    <cfRule type="expression" dxfId="254" priority="12203" stopIfTrue="1">
      <formula>AND(R11&lt;&gt;"", R11 - A2 &lt;= 14, R11 - A2 &gt; 7)</formula>
    </cfRule>
  </conditionalFormatting>
  <conditionalFormatting sqref="R11">
    <cfRule type="expression" dxfId="253" priority="12204" stopIfTrue="1">
      <formula>AND(R11&lt;&gt;"", R11 - A2 &lt;= 7, R11 - A2 &gt; 2)</formula>
    </cfRule>
  </conditionalFormatting>
  <conditionalFormatting sqref="R11">
    <cfRule type="expression" dxfId="252" priority="12205" stopIfTrue="1">
      <formula>AND(R11&lt;&gt;"", R11 - A2 &lt;= 2)</formula>
    </cfRule>
  </conditionalFormatting>
  <conditionalFormatting sqref="S11">
    <cfRule type="expression" dxfId="251" priority="12206" stopIfTrue="1">
      <formula>AND(S11&lt;&gt;"", S11 - A2 &gt; 14)</formula>
    </cfRule>
  </conditionalFormatting>
  <conditionalFormatting sqref="S11">
    <cfRule type="expression" dxfId="250" priority="12207" stopIfTrue="1">
      <formula>AND(S11&lt;&gt;"", S11 - A2 &lt;= 14, S11 - A2 &gt; 7)</formula>
    </cfRule>
  </conditionalFormatting>
  <conditionalFormatting sqref="S11">
    <cfRule type="expression" dxfId="249" priority="12208" stopIfTrue="1">
      <formula>AND(S11&lt;&gt;"", S11 - A2 &lt;= 7, S11 - A2 &gt; 2)</formula>
    </cfRule>
  </conditionalFormatting>
  <conditionalFormatting sqref="S11">
    <cfRule type="expression" dxfId="248" priority="12209" stopIfTrue="1">
      <formula>AND(S11&lt;&gt;"", S11 - A2 &lt;= 2)</formula>
    </cfRule>
  </conditionalFormatting>
  <conditionalFormatting sqref="T11">
    <cfRule type="expression" dxfId="247" priority="12210" stopIfTrue="1">
      <formula>AND(T11&lt;&gt;"", T11 - A2 &gt; 14)</formula>
    </cfRule>
  </conditionalFormatting>
  <conditionalFormatting sqref="T11">
    <cfRule type="expression" dxfId="246" priority="12211" stopIfTrue="1">
      <formula>AND(T11&lt;&gt;"", T11 - A2 &lt;= 14, T11 - A2 &gt; 7)</formula>
    </cfRule>
  </conditionalFormatting>
  <conditionalFormatting sqref="T11">
    <cfRule type="expression" dxfId="245" priority="12212" stopIfTrue="1">
      <formula>AND(T11&lt;&gt;"", T11 - A2 &lt;= 7, T11 - A2 &gt; 2)</formula>
    </cfRule>
  </conditionalFormatting>
  <conditionalFormatting sqref="T11">
    <cfRule type="expression" dxfId="244" priority="12213" stopIfTrue="1">
      <formula>AND(T11&lt;&gt;"", T11 - A2 &lt;= 2)</formula>
    </cfRule>
  </conditionalFormatting>
  <conditionalFormatting sqref="U11">
    <cfRule type="expression" dxfId="243" priority="12214" stopIfTrue="1">
      <formula>AND(U11&lt;&gt;"", U11 - A2 &gt; 14)</formula>
    </cfRule>
  </conditionalFormatting>
  <conditionalFormatting sqref="U11">
    <cfRule type="expression" dxfId="242" priority="12215" stopIfTrue="1">
      <formula>AND(U11&lt;&gt;"", U11 - A2 &lt;= 14, U11 - A2 &gt; 7)</formula>
    </cfRule>
  </conditionalFormatting>
  <conditionalFormatting sqref="U11">
    <cfRule type="expression" dxfId="241" priority="12216" stopIfTrue="1">
      <formula>AND(U11&lt;&gt;"", U11 - A2 &lt;= 7, U11 - A2 &gt; 2)</formula>
    </cfRule>
  </conditionalFormatting>
  <conditionalFormatting sqref="U11">
    <cfRule type="expression" dxfId="240" priority="12217" stopIfTrue="1">
      <formula>AND(U11&lt;&gt;"", U11 - A2 &lt;= 2)</formula>
    </cfRule>
  </conditionalFormatting>
  <conditionalFormatting sqref="J13">
    <cfRule type="expression" dxfId="239" priority="12218" stopIfTrue="1">
      <formula>AND(J13&lt;&gt;"", J13 - A2 &gt; 14)</formula>
    </cfRule>
  </conditionalFormatting>
  <conditionalFormatting sqref="J13">
    <cfRule type="expression" dxfId="238" priority="12219" stopIfTrue="1">
      <formula>AND(J13&lt;&gt;"", J13 - A2 &lt;= 14, J13 - A2 &gt; 7)</formula>
    </cfRule>
  </conditionalFormatting>
  <conditionalFormatting sqref="J13">
    <cfRule type="expression" dxfId="237" priority="12220" stopIfTrue="1">
      <formula>AND(J13&lt;&gt;"", J13 - A2 &lt;= 7, J13 - A2 &gt; 2)</formula>
    </cfRule>
  </conditionalFormatting>
  <conditionalFormatting sqref="J13">
    <cfRule type="expression" dxfId="236" priority="12221" stopIfTrue="1">
      <formula>AND(J13&lt;&gt;"", J13 - A2 &lt;= 2)</formula>
    </cfRule>
  </conditionalFormatting>
  <conditionalFormatting sqref="K13">
    <cfRule type="expression" dxfId="235" priority="12222" stopIfTrue="1">
      <formula>AND(K13&lt;&gt;"", K13 - A2 &gt; 14)</formula>
    </cfRule>
  </conditionalFormatting>
  <conditionalFormatting sqref="K13">
    <cfRule type="expression" dxfId="234" priority="12223" stopIfTrue="1">
      <formula>AND(K13&lt;&gt;"", K13 - A2 &lt;= 14, K13 - A2 &gt; 7)</formula>
    </cfRule>
  </conditionalFormatting>
  <conditionalFormatting sqref="K13">
    <cfRule type="expression" dxfId="233" priority="12224" stopIfTrue="1">
      <formula>AND(K13&lt;&gt;"", K13 - A2 &lt;= 7, K13 - A2 &gt; 2)</formula>
    </cfRule>
  </conditionalFormatting>
  <conditionalFormatting sqref="K13">
    <cfRule type="expression" dxfId="232" priority="12225" stopIfTrue="1">
      <formula>AND(K13&lt;&gt;"", K13 - A2 &lt;= 2)</formula>
    </cfRule>
  </conditionalFormatting>
  <conditionalFormatting sqref="L13">
    <cfRule type="expression" dxfId="231" priority="12226" stopIfTrue="1">
      <formula>AND(L13&lt;&gt;"", L13 - A2 &gt; 14)</formula>
    </cfRule>
  </conditionalFormatting>
  <conditionalFormatting sqref="L13">
    <cfRule type="expression" dxfId="230" priority="12227" stopIfTrue="1">
      <formula>AND(L13&lt;&gt;"", L13 - A2 &lt;= 14, L13 - A2 &gt; 7)</formula>
    </cfRule>
  </conditionalFormatting>
  <conditionalFormatting sqref="L13">
    <cfRule type="expression" dxfId="229" priority="12228" stopIfTrue="1">
      <formula>AND(L13&lt;&gt;"", L13 - A2 &lt;= 7, L13 - A2 &gt; 2)</formula>
    </cfRule>
  </conditionalFormatting>
  <conditionalFormatting sqref="L13">
    <cfRule type="expression" dxfId="228" priority="12229" stopIfTrue="1">
      <formula>AND(L13&lt;&gt;"", L13 - A2 &lt;= 2)</formula>
    </cfRule>
  </conditionalFormatting>
  <conditionalFormatting sqref="M13">
    <cfRule type="expression" dxfId="227" priority="12230" stopIfTrue="1">
      <formula>AND(M13&lt;&gt;"", M13 - A2 &gt; 14)</formula>
    </cfRule>
  </conditionalFormatting>
  <conditionalFormatting sqref="M13">
    <cfRule type="expression" dxfId="226" priority="12231" stopIfTrue="1">
      <formula>AND(M13&lt;&gt;"", M13 - A2 &lt;= 14, M13 - A2 &gt; 7)</formula>
    </cfRule>
  </conditionalFormatting>
  <conditionalFormatting sqref="M13">
    <cfRule type="expression" dxfId="225" priority="12232" stopIfTrue="1">
      <formula>AND(M13&lt;&gt;"", M13 - A2 &lt;= 7, M13 - A2 &gt; 2)</formula>
    </cfRule>
  </conditionalFormatting>
  <conditionalFormatting sqref="M13">
    <cfRule type="expression" dxfId="224" priority="12233" stopIfTrue="1">
      <formula>AND(M13&lt;&gt;"", M13 - A2 &lt;= 2)</formula>
    </cfRule>
  </conditionalFormatting>
  <conditionalFormatting sqref="N13">
    <cfRule type="expression" dxfId="223" priority="12234" stopIfTrue="1">
      <formula>AND(N13&lt;&gt;"", N13 - A2 &gt; 14)</formula>
    </cfRule>
  </conditionalFormatting>
  <conditionalFormatting sqref="N13">
    <cfRule type="expression" dxfId="222" priority="12235" stopIfTrue="1">
      <formula>AND(N13&lt;&gt;"", N13 - A2 &lt;= 14, N13 - A2 &gt; 7)</formula>
    </cfRule>
  </conditionalFormatting>
  <conditionalFormatting sqref="N13">
    <cfRule type="expression" dxfId="221" priority="12236" stopIfTrue="1">
      <formula>AND(N13&lt;&gt;"", N13 - A2 &lt;= 7, N13 - A2 &gt; 2)</formula>
    </cfRule>
  </conditionalFormatting>
  <conditionalFormatting sqref="N13">
    <cfRule type="expression" dxfId="220" priority="12237" stopIfTrue="1">
      <formula>AND(N13&lt;&gt;"", N13 - A2 &lt;= 2)</formula>
    </cfRule>
  </conditionalFormatting>
  <conditionalFormatting sqref="O13">
    <cfRule type="expression" dxfId="219" priority="12238" stopIfTrue="1">
      <formula>AND(O13&lt;&gt;"", O13 - A2 &gt; 14)</formula>
    </cfRule>
  </conditionalFormatting>
  <conditionalFormatting sqref="O13">
    <cfRule type="expression" dxfId="218" priority="12239" stopIfTrue="1">
      <formula>AND(O13&lt;&gt;"", O13 - A2 &lt;= 14, O13 - A2 &gt; 7)</formula>
    </cfRule>
  </conditionalFormatting>
  <conditionalFormatting sqref="O13">
    <cfRule type="expression" dxfId="217" priority="12240" stopIfTrue="1">
      <formula>AND(O13&lt;&gt;"", O13 - A2 &lt;= 7, O13 - A2 &gt; 2)</formula>
    </cfRule>
  </conditionalFormatting>
  <conditionalFormatting sqref="O13">
    <cfRule type="expression" dxfId="216" priority="12241" stopIfTrue="1">
      <formula>AND(O13&lt;&gt;"", O13 - A2 &lt;= 2)</formula>
    </cfRule>
  </conditionalFormatting>
  <conditionalFormatting sqref="P13">
    <cfRule type="expression" dxfId="215" priority="12242" stopIfTrue="1">
      <formula>AND(P13&lt;&gt;"", P13 - A2 &gt; 14)</formula>
    </cfRule>
  </conditionalFormatting>
  <conditionalFormatting sqref="P13">
    <cfRule type="expression" dxfId="214" priority="12243" stopIfTrue="1">
      <formula>AND(P13&lt;&gt;"", P13 - A2 &lt;= 14, P13 - A2 &gt; 7)</formula>
    </cfRule>
  </conditionalFormatting>
  <conditionalFormatting sqref="P13">
    <cfRule type="expression" dxfId="213" priority="12244" stopIfTrue="1">
      <formula>AND(P13&lt;&gt;"", P13 - A2 &lt;= 7, P13 - A2 &gt; 2)</formula>
    </cfRule>
  </conditionalFormatting>
  <conditionalFormatting sqref="P13">
    <cfRule type="expression" dxfId="212" priority="12245" stopIfTrue="1">
      <formula>AND(P13&lt;&gt;"", P13 - A2 &lt;= 2)</formula>
    </cfRule>
  </conditionalFormatting>
  <conditionalFormatting sqref="Q13">
    <cfRule type="expression" dxfId="211" priority="12246" stopIfTrue="1">
      <formula>AND(Q13&lt;&gt;"", Q13 - A2 &gt; 14)</formula>
    </cfRule>
  </conditionalFormatting>
  <conditionalFormatting sqref="Q13">
    <cfRule type="expression" dxfId="210" priority="12247" stopIfTrue="1">
      <formula>AND(Q13&lt;&gt;"", Q13 - A2 &lt;= 14, Q13 - A2 &gt; 7)</formula>
    </cfRule>
  </conditionalFormatting>
  <conditionalFormatting sqref="Q13">
    <cfRule type="expression" dxfId="209" priority="12248" stopIfTrue="1">
      <formula>AND(Q13&lt;&gt;"", Q13 - A2 &lt;= 7, Q13 - A2 &gt; 2)</formula>
    </cfRule>
  </conditionalFormatting>
  <conditionalFormatting sqref="Q13">
    <cfRule type="expression" dxfId="208" priority="12249" stopIfTrue="1">
      <formula>AND(Q13&lt;&gt;"", Q13 - A2 &lt;= 2)</formula>
    </cfRule>
  </conditionalFormatting>
  <conditionalFormatting sqref="R13">
    <cfRule type="expression" dxfId="207" priority="12250" stopIfTrue="1">
      <formula>AND(R13&lt;&gt;"", R13 - A2 &gt; 14)</formula>
    </cfRule>
  </conditionalFormatting>
  <conditionalFormatting sqref="R13">
    <cfRule type="expression" dxfId="206" priority="12251" stopIfTrue="1">
      <formula>AND(R13&lt;&gt;"", R13 - A2 &lt;= 14, R13 - A2 &gt; 7)</formula>
    </cfRule>
  </conditionalFormatting>
  <conditionalFormatting sqref="R13">
    <cfRule type="expression" dxfId="205" priority="12252" stopIfTrue="1">
      <formula>AND(R13&lt;&gt;"", R13 - A2 &lt;= 7, R13 - A2 &gt; 2)</formula>
    </cfRule>
  </conditionalFormatting>
  <conditionalFormatting sqref="R13">
    <cfRule type="expression" dxfId="204" priority="12253" stopIfTrue="1">
      <formula>AND(R13&lt;&gt;"", R13 - A2 &lt;= 2)</formula>
    </cfRule>
  </conditionalFormatting>
  <conditionalFormatting sqref="S13">
    <cfRule type="expression" dxfId="203" priority="12254" stopIfTrue="1">
      <formula>AND(S13&lt;&gt;"", S13 - A2 &gt; 14)</formula>
    </cfRule>
  </conditionalFormatting>
  <conditionalFormatting sqref="S13">
    <cfRule type="expression" dxfId="202" priority="12255" stopIfTrue="1">
      <formula>AND(S13&lt;&gt;"", S13 - A2 &lt;= 14, S13 - A2 &gt; 7)</formula>
    </cfRule>
  </conditionalFormatting>
  <conditionalFormatting sqref="S13">
    <cfRule type="expression" dxfId="201" priority="12256" stopIfTrue="1">
      <formula>AND(S13&lt;&gt;"", S13 - A2 &lt;= 7, S13 - A2 &gt; 2)</formula>
    </cfRule>
  </conditionalFormatting>
  <conditionalFormatting sqref="S13">
    <cfRule type="expression" dxfId="200" priority="12257" stopIfTrue="1">
      <formula>AND(S13&lt;&gt;"", S13 - A2 &lt;= 2)</formula>
    </cfRule>
  </conditionalFormatting>
  <conditionalFormatting sqref="T13">
    <cfRule type="expression" dxfId="199" priority="12258" stopIfTrue="1">
      <formula>AND(T13&lt;&gt;"", T13 - A2 &gt; 14)</formula>
    </cfRule>
  </conditionalFormatting>
  <conditionalFormatting sqref="T13">
    <cfRule type="expression" dxfId="198" priority="12259" stopIfTrue="1">
      <formula>AND(T13&lt;&gt;"", T13 - A2 &lt;= 14, T13 - A2 &gt; 7)</formula>
    </cfRule>
  </conditionalFormatting>
  <conditionalFormatting sqref="T13">
    <cfRule type="expression" dxfId="197" priority="12260" stopIfTrue="1">
      <formula>AND(T13&lt;&gt;"", T13 - A2 &lt;= 7, T13 - A2 &gt; 2)</formula>
    </cfRule>
  </conditionalFormatting>
  <conditionalFormatting sqref="T13">
    <cfRule type="expression" dxfId="196" priority="12261" stopIfTrue="1">
      <formula>AND(T13&lt;&gt;"", T13 - A2 &lt;= 2)</formula>
    </cfRule>
  </conditionalFormatting>
  <conditionalFormatting sqref="U13">
    <cfRule type="expression" dxfId="195" priority="12262" stopIfTrue="1">
      <formula>AND(U13&lt;&gt;"", U13 - A2 &gt; 14)</formula>
    </cfRule>
  </conditionalFormatting>
  <conditionalFormatting sqref="U13">
    <cfRule type="expression" dxfId="194" priority="12263" stopIfTrue="1">
      <formula>AND(U13&lt;&gt;"", U13 - A2 &lt;= 14, U13 - A2 &gt; 7)</formula>
    </cfRule>
  </conditionalFormatting>
  <conditionalFormatting sqref="U13">
    <cfRule type="expression" dxfId="193" priority="12264" stopIfTrue="1">
      <formula>AND(U13&lt;&gt;"", U13 - A2 &lt;= 7, U13 - A2 &gt; 2)</formula>
    </cfRule>
  </conditionalFormatting>
  <conditionalFormatting sqref="U13">
    <cfRule type="expression" dxfId="192" priority="12265" stopIfTrue="1">
      <formula>AND(U13&lt;&gt;"", U13 - A2 &lt;= 2)</formula>
    </cfRule>
  </conditionalFormatting>
  <conditionalFormatting sqref="J14">
    <cfRule type="expression" dxfId="191" priority="12266" stopIfTrue="1">
      <formula>AND(J14&lt;&gt;"", J14 - A2 &gt; 14)</formula>
    </cfRule>
  </conditionalFormatting>
  <conditionalFormatting sqref="J14">
    <cfRule type="expression" dxfId="190" priority="12267" stopIfTrue="1">
      <formula>AND(J14&lt;&gt;"", J14 - A2 &lt;= 14, J14 - A2 &gt; 7)</formula>
    </cfRule>
  </conditionalFormatting>
  <conditionalFormatting sqref="J14">
    <cfRule type="expression" dxfId="189" priority="12268" stopIfTrue="1">
      <formula>AND(J14&lt;&gt;"", J14 - A2 &lt;= 7, J14 - A2 &gt; 2)</formula>
    </cfRule>
  </conditionalFormatting>
  <conditionalFormatting sqref="J14">
    <cfRule type="expression" dxfId="188" priority="12269" stopIfTrue="1">
      <formula>AND(J14&lt;&gt;"", J14 - A2 &lt;= 2)</formula>
    </cfRule>
  </conditionalFormatting>
  <conditionalFormatting sqref="K14">
    <cfRule type="expression" dxfId="187" priority="12270" stopIfTrue="1">
      <formula>AND(K14&lt;&gt;"", K14 - A2 &gt; 14)</formula>
    </cfRule>
  </conditionalFormatting>
  <conditionalFormatting sqref="K14">
    <cfRule type="expression" dxfId="186" priority="12271" stopIfTrue="1">
      <formula>AND(K14&lt;&gt;"", K14 - A2 &lt;= 14, K14 - A2 &gt; 7)</formula>
    </cfRule>
  </conditionalFormatting>
  <conditionalFormatting sqref="K14">
    <cfRule type="expression" dxfId="185" priority="12272" stopIfTrue="1">
      <formula>AND(K14&lt;&gt;"", K14 - A2 &lt;= 7, K14 - A2 &gt; 2)</formula>
    </cfRule>
  </conditionalFormatting>
  <conditionalFormatting sqref="K14">
    <cfRule type="expression" dxfId="184" priority="12273" stopIfTrue="1">
      <formula>AND(K14&lt;&gt;"", K14 - A2 &lt;= 2)</formula>
    </cfRule>
  </conditionalFormatting>
  <conditionalFormatting sqref="L14">
    <cfRule type="expression" dxfId="183" priority="12274" stopIfTrue="1">
      <formula>AND(L14&lt;&gt;"", L14 - A2 &gt; 14)</formula>
    </cfRule>
  </conditionalFormatting>
  <conditionalFormatting sqref="L14">
    <cfRule type="expression" dxfId="182" priority="12275" stopIfTrue="1">
      <formula>AND(L14&lt;&gt;"", L14 - A2 &lt;= 14, L14 - A2 &gt; 7)</formula>
    </cfRule>
  </conditionalFormatting>
  <conditionalFormatting sqref="L14">
    <cfRule type="expression" dxfId="181" priority="12276" stopIfTrue="1">
      <formula>AND(L14&lt;&gt;"", L14 - A2 &lt;= 7, L14 - A2 &gt; 2)</formula>
    </cfRule>
  </conditionalFormatting>
  <conditionalFormatting sqref="L14">
    <cfRule type="expression" dxfId="180" priority="12277" stopIfTrue="1">
      <formula>AND(L14&lt;&gt;"", L14 - A2 &lt;= 2)</formula>
    </cfRule>
  </conditionalFormatting>
  <conditionalFormatting sqref="M14">
    <cfRule type="expression" dxfId="179" priority="12278" stopIfTrue="1">
      <formula>AND(M14&lt;&gt;"", M14 - A2 &gt; 14)</formula>
    </cfRule>
  </conditionalFormatting>
  <conditionalFormatting sqref="M14">
    <cfRule type="expression" dxfId="178" priority="12279" stopIfTrue="1">
      <formula>AND(M14&lt;&gt;"", M14 - A2 &lt;= 14, M14 - A2 &gt; 7)</formula>
    </cfRule>
  </conditionalFormatting>
  <conditionalFormatting sqref="M14">
    <cfRule type="expression" dxfId="177" priority="12280" stopIfTrue="1">
      <formula>AND(M14&lt;&gt;"", M14 - A2 &lt;= 7, M14 - A2 &gt; 2)</formula>
    </cfRule>
  </conditionalFormatting>
  <conditionalFormatting sqref="M14">
    <cfRule type="expression" dxfId="176" priority="12281" stopIfTrue="1">
      <formula>AND(M14&lt;&gt;"", M14 - A2 &lt;= 2)</formula>
    </cfRule>
  </conditionalFormatting>
  <conditionalFormatting sqref="N14">
    <cfRule type="expression" dxfId="175" priority="12282" stopIfTrue="1">
      <formula>AND(N14&lt;&gt;"", N14 - A2 &gt; 14)</formula>
    </cfRule>
  </conditionalFormatting>
  <conditionalFormatting sqref="N14">
    <cfRule type="expression" dxfId="174" priority="12283" stopIfTrue="1">
      <formula>AND(N14&lt;&gt;"", N14 - A2 &lt;= 14, N14 - A2 &gt; 7)</formula>
    </cfRule>
  </conditionalFormatting>
  <conditionalFormatting sqref="N14">
    <cfRule type="expression" dxfId="173" priority="12284" stopIfTrue="1">
      <formula>AND(N14&lt;&gt;"", N14 - A2 &lt;= 7, N14 - A2 &gt; 2)</formula>
    </cfRule>
  </conditionalFormatting>
  <conditionalFormatting sqref="N14">
    <cfRule type="expression" dxfId="172" priority="12285" stopIfTrue="1">
      <formula>AND(N14&lt;&gt;"", N14 - A2 &lt;= 2)</formula>
    </cfRule>
  </conditionalFormatting>
  <conditionalFormatting sqref="O14">
    <cfRule type="expression" dxfId="171" priority="12286" stopIfTrue="1">
      <formula>AND(O14&lt;&gt;"", O14 - A2 &gt; 14)</formula>
    </cfRule>
  </conditionalFormatting>
  <conditionalFormatting sqref="O14">
    <cfRule type="expression" dxfId="170" priority="12287" stopIfTrue="1">
      <formula>AND(O14&lt;&gt;"", O14 - A2 &lt;= 14, O14 - A2 &gt; 7)</formula>
    </cfRule>
  </conditionalFormatting>
  <conditionalFormatting sqref="O14">
    <cfRule type="expression" dxfId="169" priority="12288" stopIfTrue="1">
      <formula>AND(O14&lt;&gt;"", O14 - A2 &lt;= 7, O14 - A2 &gt; 2)</formula>
    </cfRule>
  </conditionalFormatting>
  <conditionalFormatting sqref="O14">
    <cfRule type="expression" dxfId="168" priority="12289" stopIfTrue="1">
      <formula>AND(O14&lt;&gt;"", O14 - A2 &lt;= 2)</formula>
    </cfRule>
  </conditionalFormatting>
  <conditionalFormatting sqref="P14">
    <cfRule type="expression" dxfId="167" priority="12290" stopIfTrue="1">
      <formula>AND(P14&lt;&gt;"", P14 - A2 &gt; 14)</formula>
    </cfRule>
  </conditionalFormatting>
  <conditionalFormatting sqref="P14">
    <cfRule type="expression" dxfId="166" priority="12291" stopIfTrue="1">
      <formula>AND(P14&lt;&gt;"", P14 - A2 &lt;= 14, P14 - A2 &gt; 7)</formula>
    </cfRule>
  </conditionalFormatting>
  <conditionalFormatting sqref="P14">
    <cfRule type="expression" dxfId="165" priority="12292" stopIfTrue="1">
      <formula>AND(P14&lt;&gt;"", P14 - A2 &lt;= 7, P14 - A2 &gt; 2)</formula>
    </cfRule>
  </conditionalFormatting>
  <conditionalFormatting sqref="P14">
    <cfRule type="expression" dxfId="164" priority="12293" stopIfTrue="1">
      <formula>AND(P14&lt;&gt;"", P14 - A2 &lt;= 2)</formula>
    </cfRule>
  </conditionalFormatting>
  <conditionalFormatting sqref="Q14">
    <cfRule type="expression" dxfId="163" priority="12294" stopIfTrue="1">
      <formula>AND(Q14&lt;&gt;"", Q14 - A2 &gt; 14)</formula>
    </cfRule>
  </conditionalFormatting>
  <conditionalFormatting sqref="Q14">
    <cfRule type="expression" dxfId="162" priority="12295" stopIfTrue="1">
      <formula>AND(Q14&lt;&gt;"", Q14 - A2 &lt;= 14, Q14 - A2 &gt; 7)</formula>
    </cfRule>
  </conditionalFormatting>
  <conditionalFormatting sqref="Q14">
    <cfRule type="expression" dxfId="161" priority="12296" stopIfTrue="1">
      <formula>AND(Q14&lt;&gt;"", Q14 - A2 &lt;= 7, Q14 - A2 &gt; 2)</formula>
    </cfRule>
  </conditionalFormatting>
  <conditionalFormatting sqref="Q14">
    <cfRule type="expression" dxfId="160" priority="12297" stopIfTrue="1">
      <formula>AND(Q14&lt;&gt;"", Q14 - A2 &lt;= 2)</formula>
    </cfRule>
  </conditionalFormatting>
  <conditionalFormatting sqref="R14">
    <cfRule type="expression" dxfId="159" priority="12298" stopIfTrue="1">
      <formula>AND(R14&lt;&gt;"", R14 - A2 &gt; 14)</formula>
    </cfRule>
  </conditionalFormatting>
  <conditionalFormatting sqref="R14">
    <cfRule type="expression" dxfId="158" priority="12299" stopIfTrue="1">
      <formula>AND(R14&lt;&gt;"", R14 - A2 &lt;= 14, R14 - A2 &gt; 7)</formula>
    </cfRule>
  </conditionalFormatting>
  <conditionalFormatting sqref="R14">
    <cfRule type="expression" dxfId="157" priority="12300" stopIfTrue="1">
      <formula>AND(R14&lt;&gt;"", R14 - A2 &lt;= 7, R14 - A2 &gt; 2)</formula>
    </cfRule>
  </conditionalFormatting>
  <conditionalFormatting sqref="R14">
    <cfRule type="expression" dxfId="156" priority="12301" stopIfTrue="1">
      <formula>AND(R14&lt;&gt;"", R14 - A2 &lt;= 2)</formula>
    </cfRule>
  </conditionalFormatting>
  <conditionalFormatting sqref="S14">
    <cfRule type="expression" dxfId="155" priority="12302" stopIfTrue="1">
      <formula>AND(S14&lt;&gt;"", S14 - A2 &gt; 14)</formula>
    </cfRule>
  </conditionalFormatting>
  <conditionalFormatting sqref="S14">
    <cfRule type="expression" dxfId="154" priority="12303" stopIfTrue="1">
      <formula>AND(S14&lt;&gt;"", S14 - A2 &lt;= 14, S14 - A2 &gt; 7)</formula>
    </cfRule>
  </conditionalFormatting>
  <conditionalFormatting sqref="S14">
    <cfRule type="expression" dxfId="153" priority="12304" stopIfTrue="1">
      <formula>AND(S14&lt;&gt;"", S14 - A2 &lt;= 7, S14 - A2 &gt; 2)</formula>
    </cfRule>
  </conditionalFormatting>
  <conditionalFormatting sqref="S14">
    <cfRule type="expression" dxfId="152" priority="12305" stopIfTrue="1">
      <formula>AND(S14&lt;&gt;"", S14 - A2 &lt;= 2)</formula>
    </cfRule>
  </conditionalFormatting>
  <conditionalFormatting sqref="T14">
    <cfRule type="expression" dxfId="151" priority="12306" stopIfTrue="1">
      <formula>AND(T14&lt;&gt;"", T14 - A2 &gt; 14)</formula>
    </cfRule>
  </conditionalFormatting>
  <conditionalFormatting sqref="T14">
    <cfRule type="expression" dxfId="150" priority="12307" stopIfTrue="1">
      <formula>AND(T14&lt;&gt;"", T14 - A2 &lt;= 14, T14 - A2 &gt; 7)</formula>
    </cfRule>
  </conditionalFormatting>
  <conditionalFormatting sqref="T14">
    <cfRule type="expression" dxfId="149" priority="12308" stopIfTrue="1">
      <formula>AND(T14&lt;&gt;"", T14 - A2 &lt;= 7, T14 - A2 &gt; 2)</formula>
    </cfRule>
  </conditionalFormatting>
  <conditionalFormatting sqref="T14">
    <cfRule type="expression" dxfId="148" priority="12309" stopIfTrue="1">
      <formula>AND(T14&lt;&gt;"", T14 - A2 &lt;= 2)</formula>
    </cfRule>
  </conditionalFormatting>
  <conditionalFormatting sqref="U14">
    <cfRule type="expression" dxfId="147" priority="12310" stopIfTrue="1">
      <formula>AND(U14&lt;&gt;"", U14 - A2 &gt; 14)</formula>
    </cfRule>
  </conditionalFormatting>
  <conditionalFormatting sqref="U14">
    <cfRule type="expression" dxfId="146" priority="12311" stopIfTrue="1">
      <formula>AND(U14&lt;&gt;"", U14 - A2 &lt;= 14, U14 - A2 &gt; 7)</formula>
    </cfRule>
  </conditionalFormatting>
  <conditionalFormatting sqref="U14">
    <cfRule type="expression" dxfId="145" priority="12312" stopIfTrue="1">
      <formula>AND(U14&lt;&gt;"", U14 - A2 &lt;= 7, U14 - A2 &gt; 2)</formula>
    </cfRule>
  </conditionalFormatting>
  <conditionalFormatting sqref="U14">
    <cfRule type="expression" dxfId="144" priority="12313" stopIfTrue="1">
      <formula>AND(U14&lt;&gt;"", U14 - A2 &lt;= 2)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8264-DEB5-4B6B-87F5-62F119368F02}">
  <sheetPr codeName="Sheet3"/>
  <dimension ref="A1:U4"/>
  <sheetViews>
    <sheetView workbookViewId="0">
      <selection activeCell="R21" sqref="R21"/>
    </sheetView>
  </sheetViews>
  <sheetFormatPr defaultRowHeight="15" x14ac:dyDescent="0.25"/>
  <cols>
    <col min="1" max="1" width="12" bestFit="1" customWidth="1"/>
    <col min="10" max="12" width="12.140625" bestFit="1" customWidth="1"/>
    <col min="13" max="20" width="10.5703125" bestFit="1" customWidth="1"/>
    <col min="21" max="21" width="13.85546875" bestFit="1" customWidth="1"/>
  </cols>
  <sheetData>
    <row r="1" spans="1:21" s="1" customFormat="1" ht="15.75" customHeight="1" x14ac:dyDescent="0.2">
      <c r="A1" s="32" t="s">
        <v>7</v>
      </c>
      <c r="B1" s="41" t="s">
        <v>72</v>
      </c>
      <c r="C1" s="42"/>
      <c r="D1" s="42"/>
      <c r="E1" s="42"/>
      <c r="F1" s="42"/>
      <c r="G1" s="42"/>
      <c r="H1" s="42"/>
      <c r="I1" s="4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4"/>
    </row>
    <row r="2" spans="1:21" s="1" customFormat="1" ht="15" customHeight="1" x14ac:dyDescent="0.2">
      <c r="A2" s="50">
        <f ca="1" xml:space="preserve"> TODAY()</f>
        <v>45429</v>
      </c>
      <c r="B2" s="44"/>
      <c r="C2" s="45"/>
      <c r="D2" s="45"/>
      <c r="E2" s="45"/>
      <c r="F2" s="45"/>
      <c r="G2" s="45"/>
      <c r="H2" s="45"/>
      <c r="I2" s="46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6"/>
    </row>
    <row r="3" spans="1:21" s="1" customFormat="1" ht="15" customHeight="1" thickBot="1" x14ac:dyDescent="0.25">
      <c r="A3" s="51"/>
      <c r="B3" s="47"/>
      <c r="C3" s="48"/>
      <c r="D3" s="48"/>
      <c r="E3" s="48"/>
      <c r="F3" s="48"/>
      <c r="G3" s="48"/>
      <c r="H3" s="48"/>
      <c r="I3" s="4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8"/>
    </row>
    <row r="4" spans="1:21" s="25" customFormat="1" ht="36" x14ac:dyDescent="0.25">
      <c r="A4" s="52" t="s">
        <v>66</v>
      </c>
      <c r="B4" s="52"/>
      <c r="C4" s="52"/>
      <c r="D4" s="52"/>
      <c r="E4" s="52"/>
      <c r="F4" s="52"/>
      <c r="G4" s="52"/>
      <c r="H4" s="52"/>
      <c r="I4" s="52"/>
      <c r="J4" s="23" t="s">
        <v>50</v>
      </c>
      <c r="K4" s="24" t="s">
        <v>49</v>
      </c>
      <c r="L4" s="24" t="s">
        <v>48</v>
      </c>
      <c r="M4" s="24" t="s">
        <v>47</v>
      </c>
      <c r="N4" s="24" t="s">
        <v>46</v>
      </c>
      <c r="O4" s="24" t="s">
        <v>45</v>
      </c>
      <c r="P4" s="24" t="s">
        <v>44</v>
      </c>
      <c r="Q4" s="24" t="s">
        <v>43</v>
      </c>
      <c r="R4" s="24" t="s">
        <v>42</v>
      </c>
      <c r="S4" s="24" t="s">
        <v>41</v>
      </c>
      <c r="T4" s="24" t="s">
        <v>40</v>
      </c>
      <c r="U4" s="24" t="s">
        <v>51</v>
      </c>
    </row>
  </sheetData>
  <mergeCells count="4">
    <mergeCell ref="B1:I3"/>
    <mergeCell ref="J1:U3"/>
    <mergeCell ref="A2:A3"/>
    <mergeCell ref="A4:I4"/>
  </mergeCells>
  <conditionalFormatting sqref="J2">
    <cfRule type="expression" dxfId="143" priority="49" stopIfTrue="1">
      <formula>AND(J2&lt;&gt;"", J2 - A2 &gt; 14)</formula>
    </cfRule>
  </conditionalFormatting>
  <conditionalFormatting sqref="J2">
    <cfRule type="expression" dxfId="142" priority="50" stopIfTrue="1">
      <formula>AND(J2&lt;&gt;"", J2 - A2 &lt;= 14, J2 - A2 &gt; 7)</formula>
    </cfRule>
  </conditionalFormatting>
  <conditionalFormatting sqref="J2">
    <cfRule type="expression" dxfId="141" priority="51" stopIfTrue="1">
      <formula>AND(J2&lt;&gt;"", J2 - A2 &lt;= 7, J2 - A2 &gt; 2)</formula>
    </cfRule>
  </conditionalFormatting>
  <conditionalFormatting sqref="J2">
    <cfRule type="expression" dxfId="140" priority="52" stopIfTrue="1">
      <formula>AND(J2&lt;&gt;"", J2 - A2 &lt;= 2)</formula>
    </cfRule>
  </conditionalFormatting>
  <conditionalFormatting sqref="K2">
    <cfRule type="expression" dxfId="139" priority="53" stopIfTrue="1">
      <formula>AND(K2&lt;&gt;"", K2 - A2 &gt; 14)</formula>
    </cfRule>
  </conditionalFormatting>
  <conditionalFormatting sqref="K2">
    <cfRule type="expression" dxfId="138" priority="54" stopIfTrue="1">
      <formula>AND(K2&lt;&gt;"", K2 - A2 &lt;= 14, K2 - A2 &gt; 7)</formula>
    </cfRule>
  </conditionalFormatting>
  <conditionalFormatting sqref="K2">
    <cfRule type="expression" dxfId="137" priority="55" stopIfTrue="1">
      <formula>AND(K2&lt;&gt;"", K2 - A2 &lt;= 7, K2 - A2 &gt; 2)</formula>
    </cfRule>
  </conditionalFormatting>
  <conditionalFormatting sqref="K2">
    <cfRule type="expression" dxfId="136" priority="56" stopIfTrue="1">
      <formula>AND(K2&lt;&gt;"", K2 - A2 &lt;= 2)</formula>
    </cfRule>
  </conditionalFormatting>
  <conditionalFormatting sqref="L2">
    <cfRule type="expression" dxfId="135" priority="57" stopIfTrue="1">
      <formula>AND(L2&lt;&gt;"", L2 - A2 &gt; 14)</formula>
    </cfRule>
  </conditionalFormatting>
  <conditionalFormatting sqref="L2">
    <cfRule type="expression" dxfId="134" priority="58" stopIfTrue="1">
      <formula>AND(L2&lt;&gt;"", L2 - A2 &lt;= 14, L2 - A2 &gt; 7)</formula>
    </cfRule>
  </conditionalFormatting>
  <conditionalFormatting sqref="L2">
    <cfRule type="expression" dxfId="133" priority="59" stopIfTrue="1">
      <formula>AND(L2&lt;&gt;"", L2 - A2 &lt;= 7, L2 - A2 &gt; 2)</formula>
    </cfRule>
  </conditionalFormatting>
  <conditionalFormatting sqref="L2">
    <cfRule type="expression" dxfId="132" priority="60" stopIfTrue="1">
      <formula>AND(L2&lt;&gt;"", L2 - A2 &lt;= 2)</formula>
    </cfRule>
  </conditionalFormatting>
  <conditionalFormatting sqref="M2">
    <cfRule type="expression" dxfId="131" priority="61" stopIfTrue="1">
      <formula>AND(M2&lt;&gt;"", M2 - A2 &gt; 14)</formula>
    </cfRule>
  </conditionalFormatting>
  <conditionalFormatting sqref="M2">
    <cfRule type="expression" dxfId="130" priority="62" stopIfTrue="1">
      <formula>AND(M2&lt;&gt;"", M2 - A2 &lt;= 14, M2 - A2 &gt; 7)</formula>
    </cfRule>
  </conditionalFormatting>
  <conditionalFormatting sqref="M2">
    <cfRule type="expression" dxfId="129" priority="63" stopIfTrue="1">
      <formula>AND(M2&lt;&gt;"", M2 - A2 &lt;= 7, M2 - A2 &gt; 2)</formula>
    </cfRule>
  </conditionalFormatting>
  <conditionalFormatting sqref="M2">
    <cfRule type="expression" dxfId="128" priority="64" stopIfTrue="1">
      <formula>AND(M2&lt;&gt;"", M2 - A2 &lt;= 2)</formula>
    </cfRule>
  </conditionalFormatting>
  <conditionalFormatting sqref="N2">
    <cfRule type="expression" dxfId="127" priority="65" stopIfTrue="1">
      <formula>AND(N2&lt;&gt;"", N2 - A2 &gt; 14)</formula>
    </cfRule>
  </conditionalFormatting>
  <conditionalFormatting sqref="N2">
    <cfRule type="expression" dxfId="126" priority="66" stopIfTrue="1">
      <formula>AND(N2&lt;&gt;"", N2 - A2 &lt;= 14, N2 - A2 &gt; 7)</formula>
    </cfRule>
  </conditionalFormatting>
  <conditionalFormatting sqref="N2">
    <cfRule type="expression" dxfId="125" priority="67" stopIfTrue="1">
      <formula>AND(N2&lt;&gt;"", N2 - A2 &lt;= 7, N2 - A2 &gt; 2)</formula>
    </cfRule>
  </conditionalFormatting>
  <conditionalFormatting sqref="N2">
    <cfRule type="expression" dxfId="124" priority="68" stopIfTrue="1">
      <formula>AND(N2&lt;&gt;"", N2 - A2 &lt;= 2)</formula>
    </cfRule>
  </conditionalFormatting>
  <conditionalFormatting sqref="O2">
    <cfRule type="expression" dxfId="123" priority="69" stopIfTrue="1">
      <formula>AND(O2&lt;&gt;"", O2 - A2 &gt; 14)</formula>
    </cfRule>
  </conditionalFormatting>
  <conditionalFormatting sqref="O2">
    <cfRule type="expression" dxfId="122" priority="70" stopIfTrue="1">
      <formula>AND(O2&lt;&gt;"", O2 - A2 &lt;= 14, O2 - A2 &gt; 7)</formula>
    </cfRule>
  </conditionalFormatting>
  <conditionalFormatting sqref="O2">
    <cfRule type="expression" dxfId="121" priority="71" stopIfTrue="1">
      <formula>AND(O2&lt;&gt;"", O2 - A2 &lt;= 7, O2 - A2 &gt; 2)</formula>
    </cfRule>
  </conditionalFormatting>
  <conditionalFormatting sqref="O2">
    <cfRule type="expression" dxfId="120" priority="72" stopIfTrue="1">
      <formula>AND(O2&lt;&gt;"", O2 - A2 &lt;= 2)</formula>
    </cfRule>
  </conditionalFormatting>
  <conditionalFormatting sqref="P2">
    <cfRule type="expression" dxfId="119" priority="73" stopIfTrue="1">
      <formula>AND(P2&lt;&gt;"", P2 - A2 &gt; 14)</formula>
    </cfRule>
  </conditionalFormatting>
  <conditionalFormatting sqref="P2">
    <cfRule type="expression" dxfId="118" priority="74" stopIfTrue="1">
      <formula>AND(P2&lt;&gt;"", P2 - A2 &lt;= 14, P2 - A2 &gt; 7)</formula>
    </cfRule>
  </conditionalFormatting>
  <conditionalFormatting sqref="P2">
    <cfRule type="expression" dxfId="117" priority="75" stopIfTrue="1">
      <formula>AND(P2&lt;&gt;"", P2 - A2 &lt;= 7, P2 - A2 &gt; 2)</formula>
    </cfRule>
  </conditionalFormatting>
  <conditionalFormatting sqref="P2">
    <cfRule type="expression" dxfId="116" priority="76" stopIfTrue="1">
      <formula>AND(P2&lt;&gt;"", P2 - A2 &lt;= 2)</formula>
    </cfRule>
  </conditionalFormatting>
  <conditionalFormatting sqref="Q2">
    <cfRule type="expression" dxfId="115" priority="77" stopIfTrue="1">
      <formula>AND(Q2&lt;&gt;"", Q2 - A2 &gt; 14)</formula>
    </cfRule>
  </conditionalFormatting>
  <conditionalFormatting sqref="Q2">
    <cfRule type="expression" dxfId="114" priority="78" stopIfTrue="1">
      <formula>AND(Q2&lt;&gt;"", Q2 - A2 &lt;= 14, Q2 - A2 &gt; 7)</formula>
    </cfRule>
  </conditionalFormatting>
  <conditionalFormatting sqref="Q2">
    <cfRule type="expression" dxfId="113" priority="79" stopIfTrue="1">
      <formula>AND(Q2&lt;&gt;"", Q2 - A2 &lt;= 7, Q2 - A2 &gt; 2)</formula>
    </cfRule>
  </conditionalFormatting>
  <conditionalFormatting sqref="Q2">
    <cfRule type="expression" dxfId="112" priority="80" stopIfTrue="1">
      <formula>AND(Q2&lt;&gt;"", Q2 - A2 &lt;= 2)</formula>
    </cfRule>
  </conditionalFormatting>
  <conditionalFormatting sqref="R2">
    <cfRule type="expression" dxfId="111" priority="81" stopIfTrue="1">
      <formula>AND(R2&lt;&gt;"", R2 - A2 &gt; 14)</formula>
    </cfRule>
  </conditionalFormatting>
  <conditionalFormatting sqref="R2">
    <cfRule type="expression" dxfId="110" priority="82" stopIfTrue="1">
      <formula>AND(R2&lt;&gt;"", R2 - A2 &lt;= 14, R2 - A2 &gt; 7)</formula>
    </cfRule>
  </conditionalFormatting>
  <conditionalFormatting sqref="R2">
    <cfRule type="expression" dxfId="109" priority="83" stopIfTrue="1">
      <formula>AND(R2&lt;&gt;"", R2 - A2 &lt;= 7, R2 - A2 &gt; 2)</formula>
    </cfRule>
  </conditionalFormatting>
  <conditionalFormatting sqref="R2">
    <cfRule type="expression" dxfId="108" priority="84" stopIfTrue="1">
      <formula>AND(R2&lt;&gt;"", R2 - A2 &lt;= 2)</formula>
    </cfRule>
  </conditionalFormatting>
  <conditionalFormatting sqref="S2">
    <cfRule type="expression" dxfId="107" priority="85" stopIfTrue="1">
      <formula>AND(S2&lt;&gt;"", S2 - A2 &gt; 14)</formula>
    </cfRule>
  </conditionalFormatting>
  <conditionalFormatting sqref="S2">
    <cfRule type="expression" dxfId="106" priority="86" stopIfTrue="1">
      <formula>AND(S2&lt;&gt;"", S2 - A2 &lt;= 14, S2 - A2 &gt; 7)</formula>
    </cfRule>
  </conditionalFormatting>
  <conditionalFormatting sqref="S2">
    <cfRule type="expression" dxfId="105" priority="87" stopIfTrue="1">
      <formula>AND(S2&lt;&gt;"", S2 - A2 &lt;= 7, S2 - A2 &gt; 2)</formula>
    </cfRule>
  </conditionalFormatting>
  <conditionalFormatting sqref="S2">
    <cfRule type="expression" dxfId="104" priority="88" stopIfTrue="1">
      <formula>AND(S2&lt;&gt;"", S2 - A2 &lt;= 2)</formula>
    </cfRule>
  </conditionalFormatting>
  <conditionalFormatting sqref="T2">
    <cfRule type="expression" dxfId="103" priority="89" stopIfTrue="1">
      <formula>AND(T2&lt;&gt;"", T2 - A2 &gt; 14)</formula>
    </cfRule>
  </conditionalFormatting>
  <conditionalFormatting sqref="T2">
    <cfRule type="expression" dxfId="102" priority="90" stopIfTrue="1">
      <formula>AND(T2&lt;&gt;"", T2 - A2 &lt;= 14, T2 - A2 &gt; 7)</formula>
    </cfRule>
  </conditionalFormatting>
  <conditionalFormatting sqref="T2">
    <cfRule type="expression" dxfId="101" priority="91" stopIfTrue="1">
      <formula>AND(T2&lt;&gt;"", T2 - A2 &lt;= 7, T2 - A2 &gt; 2)</formula>
    </cfRule>
  </conditionalFormatting>
  <conditionalFormatting sqref="T2">
    <cfRule type="expression" dxfId="100" priority="92" stopIfTrue="1">
      <formula>AND(T2&lt;&gt;"", T2 - A2 &lt;= 2)</formula>
    </cfRule>
  </conditionalFormatting>
  <conditionalFormatting sqref="U2">
    <cfRule type="expression" dxfId="99" priority="93" stopIfTrue="1">
      <formula>AND(U2&lt;&gt;"", U2 - A2 &gt; 14)</formula>
    </cfRule>
  </conditionalFormatting>
  <conditionalFormatting sqref="U2">
    <cfRule type="expression" dxfId="98" priority="94" stopIfTrue="1">
      <formula>AND(U2&lt;&gt;"", U2 - A2 &lt;= 14, U2 - A2 &gt; 7)</formula>
    </cfRule>
  </conditionalFormatting>
  <conditionalFormatting sqref="U2">
    <cfRule type="expression" dxfId="97" priority="95" stopIfTrue="1">
      <formula>AND(U2&lt;&gt;"", U2 - A2 &lt;= 7, U2 - A2 &gt; 2)</formula>
    </cfRule>
  </conditionalFormatting>
  <conditionalFormatting sqref="U2">
    <cfRule type="expression" dxfId="96" priority="96" stopIfTrue="1">
      <formula>AND(U2&lt;&gt;"", U2 - A2 &lt;= 2)</formula>
    </cfRule>
  </conditionalFormatting>
  <conditionalFormatting sqref="J3">
    <cfRule type="expression" dxfId="95" priority="97" stopIfTrue="1">
      <formula>AND(J3&lt;&gt;"", J3 - A2 &gt; 14)</formula>
    </cfRule>
  </conditionalFormatting>
  <conditionalFormatting sqref="J3">
    <cfRule type="expression" dxfId="94" priority="98" stopIfTrue="1">
      <formula>AND(J3&lt;&gt;"", J3 - A2 &lt;= 14, J3 - A2 &gt; 7)</formula>
    </cfRule>
  </conditionalFormatting>
  <conditionalFormatting sqref="J3">
    <cfRule type="expression" dxfId="93" priority="99" stopIfTrue="1">
      <formula>AND(J3&lt;&gt;"", J3 - A2 &lt;= 7, J3 - A2 &gt; 2)</formula>
    </cfRule>
  </conditionalFormatting>
  <conditionalFormatting sqref="J3">
    <cfRule type="expression" dxfId="92" priority="100" stopIfTrue="1">
      <formula>AND(J3&lt;&gt;"", J3 - A2 &lt;= 2)</formula>
    </cfRule>
  </conditionalFormatting>
  <conditionalFormatting sqref="K3">
    <cfRule type="expression" dxfId="91" priority="101" stopIfTrue="1">
      <formula>AND(K3&lt;&gt;"", K3 - A2 &gt; 14)</formula>
    </cfRule>
  </conditionalFormatting>
  <conditionalFormatting sqref="K3">
    <cfRule type="expression" dxfId="90" priority="102" stopIfTrue="1">
      <formula>AND(K3&lt;&gt;"", K3 - A2 &lt;= 14, K3 - A2 &gt; 7)</formula>
    </cfRule>
  </conditionalFormatting>
  <conditionalFormatting sqref="K3">
    <cfRule type="expression" dxfId="89" priority="103" stopIfTrue="1">
      <formula>AND(K3&lt;&gt;"", K3 - A2 &lt;= 7, K3 - A2 &gt; 2)</formula>
    </cfRule>
  </conditionalFormatting>
  <conditionalFormatting sqref="K3">
    <cfRule type="expression" dxfId="88" priority="104" stopIfTrue="1">
      <formula>AND(K3&lt;&gt;"", K3 - A2 &lt;= 2)</formula>
    </cfRule>
  </conditionalFormatting>
  <conditionalFormatting sqref="L3">
    <cfRule type="expression" dxfId="87" priority="105" stopIfTrue="1">
      <formula>AND(L3&lt;&gt;"", L3 - A2 &gt; 14)</formula>
    </cfRule>
  </conditionalFormatting>
  <conditionalFormatting sqref="L3">
    <cfRule type="expression" dxfId="86" priority="106" stopIfTrue="1">
      <formula>AND(L3&lt;&gt;"", L3 - A2 &lt;= 14, L3 - A2 &gt; 7)</formula>
    </cfRule>
  </conditionalFormatting>
  <conditionalFormatting sqref="L3">
    <cfRule type="expression" dxfId="85" priority="107" stopIfTrue="1">
      <formula>AND(L3&lt;&gt;"", L3 - A2 &lt;= 7, L3 - A2 &gt; 2)</formula>
    </cfRule>
  </conditionalFormatting>
  <conditionalFormatting sqref="L3">
    <cfRule type="expression" dxfId="84" priority="108" stopIfTrue="1">
      <formula>AND(L3&lt;&gt;"", L3 - A2 &lt;= 2)</formula>
    </cfRule>
  </conditionalFormatting>
  <conditionalFormatting sqref="M3">
    <cfRule type="expression" dxfId="83" priority="109" stopIfTrue="1">
      <formula>AND(M3&lt;&gt;"", M3 - A2 &gt; 14)</formula>
    </cfRule>
  </conditionalFormatting>
  <conditionalFormatting sqref="M3">
    <cfRule type="expression" dxfId="82" priority="110" stopIfTrue="1">
      <formula>AND(M3&lt;&gt;"", M3 - A2 &lt;= 14, M3 - A2 &gt; 7)</formula>
    </cfRule>
  </conditionalFormatting>
  <conditionalFormatting sqref="M3">
    <cfRule type="expression" dxfId="81" priority="111" stopIfTrue="1">
      <formula>AND(M3&lt;&gt;"", M3 - A2 &lt;= 7, M3 - A2 &gt; 2)</formula>
    </cfRule>
  </conditionalFormatting>
  <conditionalFormatting sqref="M3">
    <cfRule type="expression" dxfId="80" priority="112" stopIfTrue="1">
      <formula>AND(M3&lt;&gt;"", M3 - A2 &lt;= 2)</formula>
    </cfRule>
  </conditionalFormatting>
  <conditionalFormatting sqref="N3">
    <cfRule type="expression" dxfId="79" priority="113" stopIfTrue="1">
      <formula>AND(N3&lt;&gt;"", N3 - A2 &gt; 14)</formula>
    </cfRule>
  </conditionalFormatting>
  <conditionalFormatting sqref="N3">
    <cfRule type="expression" dxfId="78" priority="114" stopIfTrue="1">
      <formula>AND(N3&lt;&gt;"", N3 - A2 &lt;= 14, N3 - A2 &gt; 7)</formula>
    </cfRule>
  </conditionalFormatting>
  <conditionalFormatting sqref="N3">
    <cfRule type="expression" dxfId="77" priority="115" stopIfTrue="1">
      <formula>AND(N3&lt;&gt;"", N3 - A2 &lt;= 7, N3 - A2 &gt; 2)</formula>
    </cfRule>
  </conditionalFormatting>
  <conditionalFormatting sqref="N3">
    <cfRule type="expression" dxfId="76" priority="116" stopIfTrue="1">
      <formula>AND(N3&lt;&gt;"", N3 - A2 &lt;= 2)</formula>
    </cfRule>
  </conditionalFormatting>
  <conditionalFormatting sqref="O3">
    <cfRule type="expression" dxfId="75" priority="117" stopIfTrue="1">
      <formula>AND(O3&lt;&gt;"", O3 - A2 &gt; 14)</formula>
    </cfRule>
  </conditionalFormatting>
  <conditionalFormatting sqref="O3">
    <cfRule type="expression" dxfId="74" priority="118" stopIfTrue="1">
      <formula>AND(O3&lt;&gt;"", O3 - A2 &lt;= 14, O3 - A2 &gt; 7)</formula>
    </cfRule>
  </conditionalFormatting>
  <conditionalFormatting sqref="O3">
    <cfRule type="expression" dxfId="73" priority="119" stopIfTrue="1">
      <formula>AND(O3&lt;&gt;"", O3 - A2 &lt;= 7, O3 - A2 &gt; 2)</formula>
    </cfRule>
  </conditionalFormatting>
  <conditionalFormatting sqref="O3">
    <cfRule type="expression" dxfId="72" priority="120" stopIfTrue="1">
      <formula>AND(O3&lt;&gt;"", O3 - A2 &lt;= 2)</formula>
    </cfRule>
  </conditionalFormatting>
  <conditionalFormatting sqref="P3">
    <cfRule type="expression" dxfId="71" priority="121" stopIfTrue="1">
      <formula>AND(P3&lt;&gt;"", P3 - A2 &gt; 14)</formula>
    </cfRule>
  </conditionalFormatting>
  <conditionalFormatting sqref="P3">
    <cfRule type="expression" dxfId="70" priority="122" stopIfTrue="1">
      <formula>AND(P3&lt;&gt;"", P3 - A2 &lt;= 14, P3 - A2 &gt; 7)</formula>
    </cfRule>
  </conditionalFormatting>
  <conditionalFormatting sqref="P3">
    <cfRule type="expression" dxfId="69" priority="123" stopIfTrue="1">
      <formula>AND(P3&lt;&gt;"", P3 - A2 &lt;= 7, P3 - A2 &gt; 2)</formula>
    </cfRule>
  </conditionalFormatting>
  <conditionalFormatting sqref="P3">
    <cfRule type="expression" dxfId="68" priority="124" stopIfTrue="1">
      <formula>AND(P3&lt;&gt;"", P3 - A2 &lt;= 2)</formula>
    </cfRule>
  </conditionalFormatting>
  <conditionalFormatting sqref="Q3">
    <cfRule type="expression" dxfId="67" priority="125" stopIfTrue="1">
      <formula>AND(Q3&lt;&gt;"", Q3 - A2 &gt; 14)</formula>
    </cfRule>
  </conditionalFormatting>
  <conditionalFormatting sqref="Q3">
    <cfRule type="expression" dxfId="66" priority="126" stopIfTrue="1">
      <formula>AND(Q3&lt;&gt;"", Q3 - A2 &lt;= 14, Q3 - A2 &gt; 7)</formula>
    </cfRule>
  </conditionalFormatting>
  <conditionalFormatting sqref="Q3">
    <cfRule type="expression" dxfId="65" priority="127" stopIfTrue="1">
      <formula>AND(Q3&lt;&gt;"", Q3 - A2 &lt;= 7, Q3 - A2 &gt; 2)</formula>
    </cfRule>
  </conditionalFormatting>
  <conditionalFormatting sqref="Q3">
    <cfRule type="expression" dxfId="64" priority="128" stopIfTrue="1">
      <formula>AND(Q3&lt;&gt;"", Q3 - A2 &lt;= 2)</formula>
    </cfRule>
  </conditionalFormatting>
  <conditionalFormatting sqref="R3">
    <cfRule type="expression" dxfId="63" priority="129" stopIfTrue="1">
      <formula>AND(R3&lt;&gt;"", R3 - A2 &gt; 14)</formula>
    </cfRule>
  </conditionalFormatting>
  <conditionalFormatting sqref="R3">
    <cfRule type="expression" dxfId="62" priority="130" stopIfTrue="1">
      <formula>AND(R3&lt;&gt;"", R3 - A2 &lt;= 14, R3 - A2 &gt; 7)</formula>
    </cfRule>
  </conditionalFormatting>
  <conditionalFormatting sqref="R3">
    <cfRule type="expression" dxfId="61" priority="131" stopIfTrue="1">
      <formula>AND(R3&lt;&gt;"", R3 - A2 &lt;= 7, R3 - A2 &gt; 2)</formula>
    </cfRule>
  </conditionalFormatting>
  <conditionalFormatting sqref="R3">
    <cfRule type="expression" dxfId="60" priority="132" stopIfTrue="1">
      <formula>AND(R3&lt;&gt;"", R3 - A2 &lt;= 2)</formula>
    </cfRule>
  </conditionalFormatting>
  <conditionalFormatting sqref="S3">
    <cfRule type="expression" dxfId="59" priority="133" stopIfTrue="1">
      <formula>AND(S3&lt;&gt;"", S3 - A2 &gt; 14)</formula>
    </cfRule>
  </conditionalFormatting>
  <conditionalFormatting sqref="S3">
    <cfRule type="expression" dxfId="58" priority="134" stopIfTrue="1">
      <formula>AND(S3&lt;&gt;"", S3 - A2 &lt;= 14, S3 - A2 &gt; 7)</formula>
    </cfRule>
  </conditionalFormatting>
  <conditionalFormatting sqref="S3">
    <cfRule type="expression" dxfId="57" priority="135" stopIfTrue="1">
      <formula>AND(S3&lt;&gt;"", S3 - A2 &lt;= 7, S3 - A2 &gt; 2)</formula>
    </cfRule>
  </conditionalFormatting>
  <conditionalFormatting sqref="S3">
    <cfRule type="expression" dxfId="56" priority="136" stopIfTrue="1">
      <formula>AND(S3&lt;&gt;"", S3 - A2 &lt;= 2)</formula>
    </cfRule>
  </conditionalFormatting>
  <conditionalFormatting sqref="T3">
    <cfRule type="expression" dxfId="55" priority="137" stopIfTrue="1">
      <formula>AND(T3&lt;&gt;"", T3 - A2 &gt; 14)</formula>
    </cfRule>
  </conditionalFormatting>
  <conditionalFormatting sqref="T3">
    <cfRule type="expression" dxfId="54" priority="138" stopIfTrue="1">
      <formula>AND(T3&lt;&gt;"", T3 - A2 &lt;= 14, T3 - A2 &gt; 7)</formula>
    </cfRule>
  </conditionalFormatting>
  <conditionalFormatting sqref="T3">
    <cfRule type="expression" dxfId="53" priority="139" stopIfTrue="1">
      <formula>AND(T3&lt;&gt;"", T3 - A2 &lt;= 7, T3 - A2 &gt; 2)</formula>
    </cfRule>
  </conditionalFormatting>
  <conditionalFormatting sqref="T3">
    <cfRule type="expression" dxfId="52" priority="140" stopIfTrue="1">
      <formula>AND(T3&lt;&gt;"", T3 - A2 &lt;= 2)</formula>
    </cfRule>
  </conditionalFormatting>
  <conditionalFormatting sqref="U3">
    <cfRule type="expression" dxfId="51" priority="141" stopIfTrue="1">
      <formula>AND(U3&lt;&gt;"", U3 - A2 &gt; 14)</formula>
    </cfRule>
  </conditionalFormatting>
  <conditionalFormatting sqref="U3">
    <cfRule type="expression" dxfId="50" priority="142" stopIfTrue="1">
      <formula>AND(U3&lt;&gt;"", U3 - A2 &lt;= 14, U3 - A2 &gt; 7)</formula>
    </cfRule>
  </conditionalFormatting>
  <conditionalFormatting sqref="U3">
    <cfRule type="expression" dxfId="49" priority="143" stopIfTrue="1">
      <formula>AND(U3&lt;&gt;"", U3 - A2 &lt;= 7, U3 - A2 &gt; 2)</formula>
    </cfRule>
  </conditionalFormatting>
  <conditionalFormatting sqref="U3">
    <cfRule type="expression" dxfId="48" priority="144" stopIfTrue="1">
      <formula>AND(U3&lt;&gt;"", U3 - A2 &lt;= 2)</formula>
    </cfRule>
  </conditionalFormatting>
  <conditionalFormatting sqref="J4">
    <cfRule type="expression" dxfId="47" priority="1" stopIfTrue="1">
      <formula>AND(J4&lt;&gt;"", J4 - A2 &gt; 14)</formula>
    </cfRule>
  </conditionalFormatting>
  <conditionalFormatting sqref="J4">
    <cfRule type="expression" dxfId="46" priority="2" stopIfTrue="1">
      <formula>AND(J4&lt;&gt;"", J4 - A2 &lt;= 14, J4 - A2 &gt; 7)</formula>
    </cfRule>
  </conditionalFormatting>
  <conditionalFormatting sqref="J4">
    <cfRule type="expression" dxfId="45" priority="3" stopIfTrue="1">
      <formula>AND(J4&lt;&gt;"", J4 - A2 &lt;= 7, J4 - A2 &gt; 2)</formula>
    </cfRule>
  </conditionalFormatting>
  <conditionalFormatting sqref="J4">
    <cfRule type="expression" dxfId="44" priority="4" stopIfTrue="1">
      <formula>AND(J4&lt;&gt;"", J4 - A2 &lt;= 2)</formula>
    </cfRule>
  </conditionalFormatting>
  <conditionalFormatting sqref="K4">
    <cfRule type="expression" dxfId="43" priority="5" stopIfTrue="1">
      <formula>AND(K4&lt;&gt;"", K4 - A2 &gt; 14)</formula>
    </cfRule>
  </conditionalFormatting>
  <conditionalFormatting sqref="K4">
    <cfRule type="expression" dxfId="42" priority="6" stopIfTrue="1">
      <formula>AND(K4&lt;&gt;"", K4 - A2 &lt;= 14, K4 - A2 &gt; 7)</formula>
    </cfRule>
  </conditionalFormatting>
  <conditionalFormatting sqref="K4">
    <cfRule type="expression" dxfId="41" priority="7" stopIfTrue="1">
      <formula>AND(K4&lt;&gt;"", K4 - A2 &lt;= 7, K4 - A2 &gt; 2)</formula>
    </cfRule>
  </conditionalFormatting>
  <conditionalFormatting sqref="K4">
    <cfRule type="expression" dxfId="40" priority="8" stopIfTrue="1">
      <formula>AND(K4&lt;&gt;"", K4 - A2 &lt;= 2)</formula>
    </cfRule>
  </conditionalFormatting>
  <conditionalFormatting sqref="L4">
    <cfRule type="expression" dxfId="39" priority="9" stopIfTrue="1">
      <formula>AND(L4&lt;&gt;"", L4 - A2 &gt; 14)</formula>
    </cfRule>
  </conditionalFormatting>
  <conditionalFormatting sqref="L4">
    <cfRule type="expression" dxfId="38" priority="10" stopIfTrue="1">
      <formula>AND(L4&lt;&gt;"", L4 - A2 &lt;= 14, L4 - A2 &gt; 7)</formula>
    </cfRule>
  </conditionalFormatting>
  <conditionalFormatting sqref="L4">
    <cfRule type="expression" dxfId="37" priority="11" stopIfTrue="1">
      <formula>AND(L4&lt;&gt;"", L4 - A2 &lt;= 7, L4 - A2 &gt; 2)</formula>
    </cfRule>
  </conditionalFormatting>
  <conditionalFormatting sqref="L4">
    <cfRule type="expression" dxfId="36" priority="12" stopIfTrue="1">
      <formula>AND(L4&lt;&gt;"", L4 - A2 &lt;= 2)</formula>
    </cfRule>
  </conditionalFormatting>
  <conditionalFormatting sqref="M4">
    <cfRule type="expression" dxfId="35" priority="13" stopIfTrue="1">
      <formula>AND(M4&lt;&gt;"", M4 - A2 &gt; 14)</formula>
    </cfRule>
  </conditionalFormatting>
  <conditionalFormatting sqref="M4">
    <cfRule type="expression" dxfId="34" priority="14" stopIfTrue="1">
      <formula>AND(M4&lt;&gt;"", M4 - A2 &lt;= 14, M4 - A2 &gt; 7)</formula>
    </cfRule>
  </conditionalFormatting>
  <conditionalFormatting sqref="M4">
    <cfRule type="expression" dxfId="33" priority="15" stopIfTrue="1">
      <formula>AND(M4&lt;&gt;"", M4 - A2 &lt;= 7, M4 - A2 &gt; 2)</formula>
    </cfRule>
  </conditionalFormatting>
  <conditionalFormatting sqref="M4">
    <cfRule type="expression" dxfId="32" priority="16" stopIfTrue="1">
      <formula>AND(M4&lt;&gt;"", M4 - A2 &lt;= 2)</formula>
    </cfRule>
  </conditionalFormatting>
  <conditionalFormatting sqref="N4">
    <cfRule type="expression" dxfId="31" priority="17" stopIfTrue="1">
      <formula>AND(N4&lt;&gt;"", N4 - A2 &gt; 14)</formula>
    </cfRule>
  </conditionalFormatting>
  <conditionalFormatting sqref="N4">
    <cfRule type="expression" dxfId="30" priority="18" stopIfTrue="1">
      <formula>AND(N4&lt;&gt;"", N4 - A2 &lt;= 14, N4 - A2 &gt; 7)</formula>
    </cfRule>
  </conditionalFormatting>
  <conditionalFormatting sqref="N4">
    <cfRule type="expression" dxfId="29" priority="19" stopIfTrue="1">
      <formula>AND(N4&lt;&gt;"", N4 - A2 &lt;= 7, N4 - A2 &gt; 2)</formula>
    </cfRule>
  </conditionalFormatting>
  <conditionalFormatting sqref="N4">
    <cfRule type="expression" dxfId="28" priority="20" stopIfTrue="1">
      <formula>AND(N4&lt;&gt;"", N4 - A2 &lt;= 2)</formula>
    </cfRule>
  </conditionalFormatting>
  <conditionalFormatting sqref="O4">
    <cfRule type="expression" dxfId="27" priority="21" stopIfTrue="1">
      <formula>AND(O4&lt;&gt;"", O4 - A2 &gt; 14)</formula>
    </cfRule>
  </conditionalFormatting>
  <conditionalFormatting sqref="O4">
    <cfRule type="expression" dxfId="26" priority="22" stopIfTrue="1">
      <formula>AND(O4&lt;&gt;"", O4 - A2 &lt;= 14, O4 - A2 &gt; 7)</formula>
    </cfRule>
  </conditionalFormatting>
  <conditionalFormatting sqref="O4">
    <cfRule type="expression" dxfId="25" priority="23" stopIfTrue="1">
      <formula>AND(O4&lt;&gt;"", O4 - A2 &lt;= 7, O4 - A2 &gt; 2)</formula>
    </cfRule>
  </conditionalFormatting>
  <conditionalFormatting sqref="O4">
    <cfRule type="expression" dxfId="24" priority="24" stopIfTrue="1">
      <formula>AND(O4&lt;&gt;"", O4 - A2 &lt;= 2)</formula>
    </cfRule>
  </conditionalFormatting>
  <conditionalFormatting sqref="P4">
    <cfRule type="expression" dxfId="23" priority="25" stopIfTrue="1">
      <formula>AND(P4&lt;&gt;"", P4 - A2 &gt; 14)</formula>
    </cfRule>
  </conditionalFormatting>
  <conditionalFormatting sqref="P4">
    <cfRule type="expression" dxfId="22" priority="26" stopIfTrue="1">
      <formula>AND(P4&lt;&gt;"", P4 - A2 &lt;= 14, P4 - A2 &gt; 7)</formula>
    </cfRule>
  </conditionalFormatting>
  <conditionalFormatting sqref="P4">
    <cfRule type="expression" dxfId="21" priority="27" stopIfTrue="1">
      <formula>AND(P4&lt;&gt;"", P4 - A2 &lt;= 7, P4 - A2 &gt; 2)</formula>
    </cfRule>
  </conditionalFormatting>
  <conditionalFormatting sqref="P4">
    <cfRule type="expression" dxfId="20" priority="28" stopIfTrue="1">
      <formula>AND(P4&lt;&gt;"", P4 - A2 &lt;= 2)</formula>
    </cfRule>
  </conditionalFormatting>
  <conditionalFormatting sqref="Q4">
    <cfRule type="expression" dxfId="19" priority="29" stopIfTrue="1">
      <formula>AND(Q4&lt;&gt;"", Q4 - A2 &gt; 14)</formula>
    </cfRule>
  </conditionalFormatting>
  <conditionalFormatting sqref="Q4">
    <cfRule type="expression" dxfId="18" priority="30" stopIfTrue="1">
      <formula>AND(Q4&lt;&gt;"", Q4 - A2 &lt;= 14, Q4 - A2 &gt; 7)</formula>
    </cfRule>
  </conditionalFormatting>
  <conditionalFormatting sqref="Q4">
    <cfRule type="expression" dxfId="17" priority="31" stopIfTrue="1">
      <formula>AND(Q4&lt;&gt;"", Q4 - A2 &lt;= 7, Q4 - A2 &gt; 2)</formula>
    </cfRule>
  </conditionalFormatting>
  <conditionalFormatting sqref="Q4">
    <cfRule type="expression" dxfId="16" priority="32" stopIfTrue="1">
      <formula>AND(Q4&lt;&gt;"", Q4 - A2 &lt;= 2)</formula>
    </cfRule>
  </conditionalFormatting>
  <conditionalFormatting sqref="R4">
    <cfRule type="expression" dxfId="15" priority="33" stopIfTrue="1">
      <formula>AND(R4&lt;&gt;"", R4 - A2 &gt; 14)</formula>
    </cfRule>
  </conditionalFormatting>
  <conditionalFormatting sqref="R4">
    <cfRule type="expression" dxfId="14" priority="34" stopIfTrue="1">
      <formula>AND(R4&lt;&gt;"", R4 - A2 &lt;= 14, R4 - A2 &gt; 7)</formula>
    </cfRule>
  </conditionalFormatting>
  <conditionalFormatting sqref="R4">
    <cfRule type="expression" dxfId="13" priority="35" stopIfTrue="1">
      <formula>AND(R4&lt;&gt;"", R4 - A2 &lt;= 7, R4 - A2 &gt; 2)</formula>
    </cfRule>
  </conditionalFormatting>
  <conditionalFormatting sqref="R4">
    <cfRule type="expression" dxfId="12" priority="36" stopIfTrue="1">
      <formula>AND(R4&lt;&gt;"", R4 - A2 &lt;= 2)</formula>
    </cfRule>
  </conditionalFormatting>
  <conditionalFormatting sqref="S4">
    <cfRule type="expression" dxfId="11" priority="37" stopIfTrue="1">
      <formula>AND(S4&lt;&gt;"", S4 - A2 &gt; 14)</formula>
    </cfRule>
  </conditionalFormatting>
  <conditionalFormatting sqref="S4">
    <cfRule type="expression" dxfId="10" priority="38" stopIfTrue="1">
      <formula>AND(S4&lt;&gt;"", S4 - A2 &lt;= 14, S4 - A2 &gt; 7)</formula>
    </cfRule>
  </conditionalFormatting>
  <conditionalFormatting sqref="S4">
    <cfRule type="expression" dxfId="9" priority="39" stopIfTrue="1">
      <formula>AND(S4&lt;&gt;"", S4 - A2 &lt;= 7, S4 - A2 &gt; 2)</formula>
    </cfRule>
  </conditionalFormatting>
  <conditionalFormatting sqref="S4">
    <cfRule type="expression" dxfId="8" priority="40" stopIfTrue="1">
      <formula>AND(S4&lt;&gt;"", S4 - A2 &lt;= 2)</formula>
    </cfRule>
  </conditionalFormatting>
  <conditionalFormatting sqref="T4">
    <cfRule type="expression" dxfId="7" priority="41" stopIfTrue="1">
      <formula>AND(T4&lt;&gt;"", T4 - A2 &gt; 14)</formula>
    </cfRule>
  </conditionalFormatting>
  <conditionalFormatting sqref="T4">
    <cfRule type="expression" dxfId="6" priority="42" stopIfTrue="1">
      <formula>AND(T4&lt;&gt;"", T4 - A2 &lt;= 14, T4 - A2 &gt; 7)</formula>
    </cfRule>
  </conditionalFormatting>
  <conditionalFormatting sqref="T4">
    <cfRule type="expression" dxfId="5" priority="43" stopIfTrue="1">
      <formula>AND(T4&lt;&gt;"", T4 - A2 &lt;= 7, T4 - A2 &gt; 2)</formula>
    </cfRule>
  </conditionalFormatting>
  <conditionalFormatting sqref="T4">
    <cfRule type="expression" dxfId="4" priority="44" stopIfTrue="1">
      <formula>AND(T4&lt;&gt;"", T4 - A2 &lt;= 2)</formula>
    </cfRule>
  </conditionalFormatting>
  <conditionalFormatting sqref="U4">
    <cfRule type="expression" dxfId="3" priority="45" stopIfTrue="1">
      <formula>AND(U4&lt;&gt;"", U4 - A2 &gt; 14)</formula>
    </cfRule>
  </conditionalFormatting>
  <conditionalFormatting sqref="U4">
    <cfRule type="expression" dxfId="2" priority="46" stopIfTrue="1">
      <formula>AND(U4&lt;&gt;"", U4 - A2 &lt;= 14, U4 - A2 &gt; 7)</formula>
    </cfRule>
  </conditionalFormatting>
  <conditionalFormatting sqref="U4">
    <cfRule type="expression" dxfId="1" priority="47" stopIfTrue="1">
      <formula>AND(U4&lt;&gt;"", U4 - A2 &lt;= 7, U4 - A2 &gt; 2)</formula>
    </cfRule>
  </conditionalFormatting>
  <conditionalFormatting sqref="U4">
    <cfRule type="expression" dxfId="0" priority="48" stopIfTrue="1">
      <formula>AND(U4&lt;&gt;"", U4 - A2 &lt;= 2)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c9e6ab-7c4b-4e6a-bc1d-5c7bf932c03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060057E979C541B272B84A7FFCB1C8" ma:contentTypeVersion="13" ma:contentTypeDescription="Create a new document." ma:contentTypeScope="" ma:versionID="a647aa1e541104a12269c1eb5474332f">
  <xsd:schema xmlns:xsd="http://www.w3.org/2001/XMLSchema" xmlns:xs="http://www.w3.org/2001/XMLSchema" xmlns:p="http://schemas.microsoft.com/office/2006/metadata/properties" xmlns:ns2="fdc9e6ab-7c4b-4e6a-bc1d-5c7bf932c03e" xmlns:ns3="d844ee1d-75af-49f6-800a-e7955433c494" targetNamespace="http://schemas.microsoft.com/office/2006/metadata/properties" ma:root="true" ma:fieldsID="3bcb136883933d163459f3fdd94965b3" ns2:_="" ns3:_="">
    <xsd:import namespace="fdc9e6ab-7c4b-4e6a-bc1d-5c7bf932c03e"/>
    <xsd:import namespace="d844ee1d-75af-49f6-800a-e7955433c49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9e6ab-7c4b-4e6a-bc1d-5c7bf932c0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77ad4b4-66bd-420a-861f-1f8b183f72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4ee1d-75af-49f6-800a-e7955433c49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4F34FB-A2B1-4DFB-993E-30CFF2ED27B2}">
  <ds:schemaRefs>
    <ds:schemaRef ds:uri="http://schemas.microsoft.com/office/2006/metadata/properties"/>
    <ds:schemaRef ds:uri="http://schemas.microsoft.com/office/infopath/2007/PartnerControls"/>
    <ds:schemaRef ds:uri="fdc9e6ab-7c4b-4e6a-bc1d-5c7bf932c03e"/>
  </ds:schemaRefs>
</ds:datastoreItem>
</file>

<file path=customXml/itemProps2.xml><?xml version="1.0" encoding="utf-8"?>
<ds:datastoreItem xmlns:ds="http://schemas.openxmlformats.org/officeDocument/2006/customXml" ds:itemID="{B4818739-5FE6-48F5-B786-BF8F1737766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6DDC05-A937-42AB-90E8-3F60613C0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9e6ab-7c4b-4e6a-bc1d-5c7bf932c03e"/>
    <ds:schemaRef ds:uri="d844ee1d-75af-49f6-800a-e7955433c4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061970A-C914-44DC-ADD7-068802F3F3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Opportunity</vt:lpstr>
      <vt:lpstr>Completed_Projects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Aragon, Timothy</dc:creator>
  <cp:lastModifiedBy>Aragon, Timothy</cp:lastModifiedBy>
  <dcterms:created xsi:type="dcterms:W3CDTF">2024-04-02T15:27:11Z</dcterms:created>
  <dcterms:modified xsi:type="dcterms:W3CDTF">2024-05-17T18:11:42Z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0x01010025060057E979C541B272B84A7FFCB1C8</vt:lpwstr>
  </property>
  <property fmtid="{D5CDD505-2E9C-101B-9397-08002B2CF9AE}" pid="3" name="MediaServiceImageTags">
    <vt:lpwstr/>
  </property>
</Properties>
</file>