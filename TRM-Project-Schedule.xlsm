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SProjects\TRM-ProjectMaker\"/>
    </mc:Choice>
  </mc:AlternateContent>
  <xr:revisionPtr revIDLastSave="0" documentId="13_ncr:1_{54A8C650-4654-43F2-A41C-0CD3857012B5}" xr6:coauthVersionLast="47" xr6:coauthVersionMax="47" xr10:uidLastSave="{00000000-0000-0000-0000-000000000000}"/>
  <bookViews>
    <workbookView xWindow="450" yWindow="945" windowWidth="27285" windowHeight="11295" firstSheet="1" activeTab="1" xr2:uid="{11746E52-A96B-4E91-86A9-A395D8011DDA}"/>
  </bookViews>
  <sheets>
    <sheet name="Schedule" sheetId="1" state="hidden" r:id="rId1"/>
    <sheet name="Opportunity" sheetId="3" r:id="rId2"/>
    <sheet name="Completed_Projects" sheetId="4" r:id="rId3"/>
  </sheets>
  <definedNames>
    <definedName name="ExternalData_1" localSheetId="1" hidden="1">Opportunity!$A$5:$U$9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  <c r="D7" i="1"/>
  <c r="D8" i="1"/>
  <c r="D9" i="1"/>
  <c r="A2" i="4"/>
  <c r="E9" i="1"/>
  <c r="F9" i="1"/>
  <c r="G9" i="1"/>
  <c r="H9" i="1"/>
  <c r="I9" i="1"/>
  <c r="J9" i="1"/>
  <c r="K9" i="1"/>
  <c r="L9" i="1"/>
  <c r="M9" i="1"/>
  <c r="N9" i="1"/>
  <c r="N6" i="1"/>
  <c r="N7" i="1"/>
  <c r="N8" i="1"/>
  <c r="M6" i="1"/>
  <c r="M7" i="1"/>
  <c r="M8" i="1"/>
  <c r="L6" i="1"/>
  <c r="L7" i="1"/>
  <c r="L8" i="1"/>
  <c r="K6" i="1"/>
  <c r="K7" i="1"/>
  <c r="K8" i="1"/>
  <c r="J6" i="1"/>
  <c r="J7" i="1"/>
  <c r="J8" i="1"/>
  <c r="I6" i="1"/>
  <c r="I7" i="1"/>
  <c r="I8" i="1"/>
  <c r="H6" i="1"/>
  <c r="H7" i="1"/>
  <c r="H8" i="1"/>
  <c r="G6" i="1"/>
  <c r="G7" i="1"/>
  <c r="G8" i="1"/>
  <c r="F6" i="1"/>
  <c r="F7" i="1"/>
  <c r="F8" i="1"/>
  <c r="E6" i="1"/>
  <c r="E7" i="1"/>
  <c r="E8" i="1"/>
  <c r="A2" i="3"/>
  <c r="A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B7870A-6DFC-45E3-8864-4A70D641336C}" keepAlive="1" name="Query - Opportunity" description="Connection to the 'Opportunity' query in the workbook." type="5" refreshedVersion="8" background="1" refreshOnLoad="1" saveData="1">
    <dbPr connection="Provider=Microsoft.Mashup.OleDb.1;Data Source=$Workbook$;Location=Opportunity;Extended Properties=&quot;&quot;" command="SELECT * FROM [Opportunity]"/>
  </connection>
</connections>
</file>

<file path=xl/sharedStrings.xml><?xml version="1.0" encoding="utf-8"?>
<sst xmlns="http://schemas.openxmlformats.org/spreadsheetml/2006/main" count="172" uniqueCount="75">
  <si>
    <t>Install Date</t>
  </si>
  <si>
    <t>Property</t>
  </si>
  <si>
    <t>Seminole Tribe of Florida - dba</t>
  </si>
  <si>
    <t>The Venetian Resort Las Vegas</t>
  </si>
  <si>
    <t>Sharkeys Casino</t>
  </si>
  <si>
    <t>Fontainebleau Las Vegas</t>
  </si>
  <si>
    <t>IGT TRM Projects At a Glance</t>
  </si>
  <si>
    <t>*Today Is*</t>
  </si>
  <si>
    <t>Emerald Queen Casino Tacoma</t>
  </si>
  <si>
    <t>Live! Casino and Hotel Philadelphia</t>
  </si>
  <si>
    <t>Muckleshoot Indian Bingo</t>
  </si>
  <si>
    <t>Harrah's Laughlin</t>
  </si>
  <si>
    <t>OPP</t>
  </si>
  <si>
    <t>OPP258075</t>
  </si>
  <si>
    <t>OPP260256</t>
  </si>
  <si>
    <t>OPP211920</t>
  </si>
  <si>
    <t>OPP259229</t>
  </si>
  <si>
    <t>OPP246395</t>
  </si>
  <si>
    <t>OPP265994</t>
  </si>
  <si>
    <t>OPP234857</t>
  </si>
  <si>
    <t>OPP251455</t>
  </si>
  <si>
    <t>West</t>
  </si>
  <si>
    <t>Completed</t>
  </si>
  <si>
    <t>East</t>
  </si>
  <si>
    <t>Started</t>
  </si>
  <si>
    <t>Peppers, Derek</t>
  </si>
  <si>
    <t>Aragon, Timothy</t>
  </si>
  <si>
    <t>Hampton, William</t>
  </si>
  <si>
    <t>Post Go Live RCA</t>
  </si>
  <si>
    <t>Deployment Plan Evaluation</t>
  </si>
  <si>
    <t>Sanity Check
Risk Assesment
Travel Planning
Server Verification</t>
  </si>
  <si>
    <t>Training
Deployment Plan Acceptance</t>
  </si>
  <si>
    <t>Project Planning
Software Order</t>
  </si>
  <si>
    <t>RA/Network Topology</t>
  </si>
  <si>
    <t>Requirements Gathering 
Tech Plan
Customer Documentation</t>
  </si>
  <si>
    <t>Internal/Exteranl Kickoff</t>
  </si>
  <si>
    <t>Scheduling
Customer Email Introduction</t>
  </si>
  <si>
    <t>PM Project Prep
Scheduling</t>
  </si>
  <si>
    <t>Licensing/Juristictional Approval</t>
  </si>
  <si>
    <t>Sales Engagement
Hardware/Peripherals
Signed SO &amp; Approval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</si>
  <si>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</si>
  <si>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</si>
  <si>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</si>
  <si>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</si>
  <si>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</si>
  <si>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</si>
  <si>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</si>
  <si>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</si>
  <si>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</si>
  <si>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</si>
  <si>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</si>
  <si>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Transition</t>
  </si>
  <si>
    <t>Carson Valley Inn - Tournament Manager</t>
  </si>
  <si>
    <t>Hard Rock Hollywood Tournament Mgr Install  41 EGMs</t>
  </si>
  <si>
    <t>CZR Harrah's Laughlin Tournament Manager Install</t>
  </si>
  <si>
    <t>Venetian Tournament Manager Upgrade</t>
  </si>
  <si>
    <t>Emerald Queen Tacoma - Tournament Manager Install</t>
  </si>
  <si>
    <t>Muckleshoot Tournament Manager Install</t>
  </si>
  <si>
    <t>Fontainebleau - Tournament Manager Install</t>
  </si>
  <si>
    <t>Philly Live Tournament Manager</t>
  </si>
  <si>
    <t>Account</t>
  </si>
  <si>
    <t>Go Live Date</t>
  </si>
  <si>
    <t>Days Till Install</t>
  </si>
  <si>
    <t>Progress</t>
  </si>
  <si>
    <t>Region</t>
  </si>
  <si>
    <t>Lead SE</t>
  </si>
  <si>
    <t>Project Identification and information</t>
  </si>
  <si>
    <t>Opp</t>
  </si>
  <si>
    <t>OPP252374</t>
  </si>
  <si>
    <t>Potawatomi Bingo Casino</t>
  </si>
  <si>
    <t>Potawatomi MKE- Tournament Manager Multisite Cleo Install</t>
  </si>
  <si>
    <t>Central</t>
  </si>
  <si>
    <t>IGT TRM Completed Projects (Historical)</t>
  </si>
  <si>
    <t/>
  </si>
  <si>
    <t>Go-Live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</si>
</sst>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Lato"/>
      <family val="2"/>
    </font>
    <font>
      <sz val="12"/>
      <color theme="1"/>
      <name val="Lato"/>
      <family val="2"/>
    </font>
    <font>
      <b/>
      <sz val="12"/>
      <color theme="0"/>
      <name val="Lato"/>
      <family val="2"/>
    </font>
    <font>
      <b/>
      <sz val="26"/>
      <color theme="1"/>
      <name val="Lato"/>
      <family val="2"/>
    </font>
    <font>
      <b/>
      <sz val="12"/>
      <color theme="1"/>
      <name val="Lato"/>
      <family val="2"/>
    </font>
    <font>
      <sz val="8"/>
      <name val="Calibri"/>
      <family val="2"/>
      <scheme val="minor"/>
    </font>
    <font>
      <b/>
      <sz val="11"/>
      <color theme="1"/>
      <name val="Lato"/>
      <family val="2"/>
    </font>
    <font>
      <b/>
      <sz val="14"/>
      <color theme="1"/>
      <name val="Lato"/>
      <family val="2"/>
    </font>
    <font>
      <b/>
      <sz val="18"/>
      <color theme="0"/>
      <name val="Lato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2" fillId="0" borderId="0" xfId="0" applyFont="1"/>
    <xf numFmtId="14" fontId="3" fillId="3" borderId="6" xfId="0" applyNumberFormat="1" applyFont="1" applyFill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14" fontId="1" fillId="0" borderId="8" xfId="0" applyNumberFormat="1" applyFont="1" applyBorder="1"/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14" fontId="3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" fillId="5" borderId="8" xfId="0" applyNumberFormat="1" applyFont="1" applyFill="1" applyBorder="1"/>
    <xf numFmtId="0" fontId="5" fillId="2" borderId="14" xfId="0" applyFont="1" applyFill="1" applyBorder="1" applyAlignment="1">
      <alignment horizontal="center" vertical="center" wrapText="1"/>
    </xf>
    <xf numFmtId="14" fontId="1" fillId="5" borderId="10" xfId="0" applyNumberFormat="1" applyFont="1" applyFill="1" applyBorder="1"/>
    <xf numFmtId="0" fontId="7" fillId="4" borderId="10" xfId="0" applyFont="1" applyFill="1" applyBorder="1" applyAlignment="1">
      <alignment vertical="center" wrapText="1"/>
    </xf>
    <xf numFmtId="0" fontId="1" fillId="0" borderId="10" xfId="0" applyFont="1" applyBorder="1" applyAlignment="1">
      <alignment vertical="center" wrapText="1"/>
    </xf>
    <xf numFmtId="14" fontId="1" fillId="0" borderId="11" xfId="0" applyNumberFormat="1" applyFont="1" applyBorder="1"/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8" fillId="0" borderId="0" xfId="0" applyFont="1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14" fontId="3" fillId="6" borderId="1" xfId="0" applyNumberFormat="1" applyFont="1" applyFill="1" applyBorder="1" applyAlignment="1">
      <alignment horizontal="center"/>
    </xf>
    <xf numFmtId="14" fontId="1" fillId="0" borderId="0" xfId="0" applyNumberFormat="1" applyFont="1"/>
    <xf numFmtId="14" fontId="0" fillId="0" borderId="0" xfId="0" applyNumberFormat="1"/>
    <xf numFmtId="14" fontId="3" fillId="3" borderId="7" xfId="0" applyNumberFormat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14" fontId="9" fillId="6" borderId="1" xfId="0" applyNumberFormat="1" applyFont="1" applyFill="1" applyBorder="1" applyAlignment="1">
      <alignment horizontal="center" vertical="center"/>
    </xf>
    <xf numFmtId="14" fontId="9" fillId="6" borderId="2" xfId="0" applyNumberFormat="1" applyFont="1" applyFill="1" applyBorder="1" applyAlignment="1">
      <alignment horizontal="center" vertical="center"/>
    </xf>
    <xf numFmtId="14" fontId="9" fillId="6" borderId="3" xfId="0" applyNumberFormat="1" applyFont="1" applyFill="1" applyBorder="1" applyAlignment="1">
      <alignment horizontal="center" vertical="center"/>
    </xf>
    <xf numFmtId="14" fontId="9" fillId="6" borderId="4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center" vertical="center"/>
    </xf>
    <xf numFmtId="14" fontId="9" fillId="6" borderId="5" xfId="0" applyNumberFormat="1" applyFont="1" applyFill="1" applyBorder="1" applyAlignment="1">
      <alignment horizontal="center" vertical="center"/>
    </xf>
    <xf numFmtId="14" fontId="9" fillId="6" borderId="15" xfId="0" applyNumberFormat="1" applyFont="1" applyFill="1" applyBorder="1" applyAlignment="1">
      <alignment horizontal="center" vertical="center"/>
    </xf>
    <xf numFmtId="14" fontId="9" fillId="6" borderId="16" xfId="0" applyNumberFormat="1" applyFont="1" applyFill="1" applyBorder="1" applyAlignment="1">
      <alignment horizontal="center" vertical="center"/>
    </xf>
    <xf numFmtId="14" fontId="9" fillId="6" borderId="17" xfId="0" applyNumberFormat="1" applyFont="1" applyFill="1" applyBorder="1" applyAlignment="1">
      <alignment horizontal="center" vertical="center"/>
    </xf>
    <xf numFmtId="14" fontId="3" fillId="6" borderId="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14" fontId="3" fillId="6" borderId="2" xfId="0" applyNumberFormat="1" applyFont="1" applyFill="1" applyBorder="1" applyAlignment="1">
      <alignment horizontal="center" vertical="center"/>
    </xf>
    <xf numFmtId="14" fontId="3" fillId="6" borderId="3" xfId="0" applyNumberFormat="1" applyFont="1" applyFill="1" applyBorder="1" applyAlignment="1">
      <alignment horizontal="center" vertical="center"/>
    </xf>
    <xf numFmtId="14" fontId="3" fillId="6" borderId="0" xfId="0" applyNumberFormat="1" applyFont="1" applyFill="1" applyAlignment="1">
      <alignment horizontal="center" vertical="center"/>
    </xf>
    <xf numFmtId="14" fontId="3" fillId="6" borderId="5" xfId="0" applyNumberFormat="1" applyFont="1" applyFill="1" applyBorder="1" applyAlignment="1">
      <alignment horizontal="center" vertical="center"/>
    </xf>
    <xf numFmtId="14" fontId="3" fillId="6" borderId="16" xfId="0" applyNumberFormat="1" applyFont="1" applyFill="1" applyBorder="1" applyAlignment="1">
      <alignment horizontal="center" vertical="center"/>
    </xf>
    <xf numFmtId="14" fontId="3" fillId="6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439"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ato"/>
        <family val="2"/>
        <scheme val="none"/>
      </font>
      <alignment horizontal="general" vertical="top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name val="Lato"/>
        <family val="2"/>
        <scheme val="none"/>
      </font>
      <alignment horizontal="general" vertical="top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181818"/>
        <name val="Lato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83ECE6AA-4B52-41AC-9636-2180F19ECCEA}" autoFormatId="16" applyNumberFormats="0" applyBorderFormats="0" applyFontFormats="0" applyPatternFormats="0" applyAlignmentFormats="0" applyWidthHeightFormats="0">
  <queryTableRefresh nextId="93">
    <queryTableFields count="21">
      <queryTableField id="91" name="Opp" tableColumnId="9"/>
      <queryTableField id="79" name="Account" tableColumnId="2"/>
      <queryTableField id="21" name="Property" tableColumnId="21"/>
      <queryTableField id="80" name="Install Date" tableColumnId="4"/>
      <queryTableField id="81" name="Go Live Date" tableColumnId="5"/>
      <queryTableField id="77" name="Days till Install" tableColumnId="3"/>
      <queryTableField id="82" name="Progress" tableColumnId="6"/>
      <queryTableField id="83" name="Region" tableColumnId="7"/>
      <queryTableField id="84" name="Lead SE" tableColumnId="8"/>
      <queryTableField id="44" name="Sales Engagement_x000a_Hardware/Peripherals_x000a_Signed SO &amp; Approval" tableColumnId="23"/>
      <queryTableField id="45" name="Licensing/Juristictional Approval" tableColumnId="24"/>
      <queryTableField id="46" name="PM Project Prep_x000a_Scheduling" tableColumnId="25"/>
      <queryTableField id="47" name="Scheduling_x000a_Customer Email Introduction" tableColumnId="26"/>
      <queryTableField id="48" name="Internal/Exteranl Kickoff" tableColumnId="27"/>
      <queryTableField id="49" name="Requirements Gathering _x000a_Tech Plan_x000a_Customer Documentation" tableColumnId="28"/>
      <queryTableField id="50" name="RA/Network Topology" tableColumnId="29"/>
      <queryTableField id="51" name="Project Planning_x000a_Software Order" tableColumnId="30"/>
      <queryTableField id="52" name="Training_x000a_Deployment Plan Acceptance" tableColumnId="31"/>
      <queryTableField id="53" name="Sanity Check_x000a_Risk Assesment_x000a_Travel Planning_x000a_Server Verification" tableColumnId="32"/>
      <queryTableField id="54" name="Deployment Plan Evaluation" tableColumnId="33"/>
      <queryTableField id="55" name="Post Go Live RCA" tableColumnId="3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E56281-85E1-41E2-96A9-5C67438C433C}" name="Master" displayName="Master" ref="A5:O9" totalsRowShown="0" headerRowDxfId="1423" dataDxfId="1421" headerRowBorderDxfId="1422" tableBorderDxfId="1420" totalsRowBorderDxfId="1419">
  <autoFilter ref="A5:O9" xr:uid="{BEE56281-85E1-41E2-96A9-5C67438C433C}"/>
  <tableColumns count="15">
    <tableColumn id="8" xr3:uid="{FE5C1142-AEDF-4D48-AB3C-C1C98744836B}" name="OPP" dataDxfId="1418"/>
    <tableColumn id="1" xr3:uid="{D0B3AFFF-FBD7-464D-9C44-663F03426B6F}" name="Property" dataDxfId="1417"/>
    <tableColumn id="2" xr3:uid="{0B57C647-B58E-4DD3-A830-9120D448480F}" name="Go-Live Date" dataDxfId="1416"/>
    <tableColumn id="3" xr3:uid="{6A143E97-388C-4BFA-BA61-B4ADC680707A}" name="Sales Engagement_x000a_Hardware/Peripherals_x000a_Signed SO &amp; Approval" dataDxfId="1415">
      <calculatedColumnFormula>IF(ISBLANK(C6), "", C6 - 84)</calculatedColumnFormula>
    </tableColumn>
    <tableColumn id="4" xr3:uid="{7C0CA7A5-59F0-4DA4-A69D-50536F7E2097}" name="Licensing/Juristictional Approval" dataDxfId="1414">
      <calculatedColumnFormula>IF(ISBLANK(C6), "", C6 - 77)</calculatedColumnFormula>
    </tableColumn>
    <tableColumn id="5" xr3:uid="{566BE878-6132-41FD-A95F-A9C5D21477ED}" name="PM Project Prep_x000a_Scheduling" dataDxfId="1413">
      <calculatedColumnFormula>IF(ISBLANK(C6), "", C6 - 70)</calculatedColumnFormula>
    </tableColumn>
    <tableColumn id="6" xr3:uid="{E7EF3B5A-3D8D-4430-851B-2ECD094DEC73}" name="Scheduling_x000a_Customer Email Introduction" dataDxfId="1412">
      <calculatedColumnFormula>IF(ISBLANK(C6), "", C6 - 63)</calculatedColumnFormula>
    </tableColumn>
    <tableColumn id="7" xr3:uid="{FD893515-8D25-4908-8FBA-56CBF1EF2C90}" name="Internal/Exteranl Kickoff" dataDxfId="1411">
      <calculatedColumnFormula>IF(ISBLANK(C6), "", C6 - 56)</calculatedColumnFormula>
    </tableColumn>
    <tableColumn id="9" xr3:uid="{754146B7-4DAB-4D2B-8A72-DF8B01065824}" name="Requirements Gathering _x000a_Tech Plan_x000a_Customer Documentation" dataDxfId="1410">
      <calculatedColumnFormula>IF(ISBLANK(C6), "", C6 - 49)</calculatedColumnFormula>
    </tableColumn>
    <tableColumn id="10" xr3:uid="{70F3A484-4DF6-4ACC-85DA-FCE2A3A1AAA5}" name="RA/Network Topology" dataDxfId="1409">
      <calculatedColumnFormula>IF(ISBLANK(C6), "", C6 - 42)</calculatedColumnFormula>
    </tableColumn>
    <tableColumn id="11" xr3:uid="{7215B55E-92EC-47A3-8BFD-ECAA0CAFDA6D}" name="Project Planning_x000a_Software Order" dataDxfId="1408">
      <calculatedColumnFormula>IF(ISBLANK(C6), "", C6 - 35)</calculatedColumnFormula>
    </tableColumn>
    <tableColumn id="12" xr3:uid="{F95FB25A-78BE-4212-A832-A4AA35CED3FE}" name="Training_x000a_Deployment Plan Acceptance" dataDxfId="1407">
      <calculatedColumnFormula>IF(ISBLANK(C6), "", C6 - 28)</calculatedColumnFormula>
    </tableColumn>
    <tableColumn id="13" xr3:uid="{C0A422F4-331E-4FF9-AE84-2BCB6116B873}" name="Sanity Check_x000a_Risk Assesment_x000a_Travel Planning_x000a_Server Verification" dataDxfId="1406">
      <calculatedColumnFormula>IF(ISBLANK(C6), "", C6 - 21)</calculatedColumnFormula>
    </tableColumn>
    <tableColumn id="14" xr3:uid="{E096D8DD-F0D5-436A-8DF0-0634A5FD2325}" name="Deployment Plan Evaluation" dataDxfId="1405">
      <calculatedColumnFormula>IF(ISBLANK(C6), "", C6 - 14)</calculatedColumnFormula>
    </tableColumn>
    <tableColumn id="16" xr3:uid="{E58AAA85-97E2-4BF7-B05A-2A7426B22726}" name="Post Go Live RCA" dataDxfId="140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C81DB6-DD77-493F-8E78-1F507F86D380}" name="Opportunity" displayName="Opportunity" ref="A5:U9" tableType="queryTable" totalsRowShown="0" headerRowDxfId="983" dataDxfId="982">
  <autoFilter ref="A5:U9" xr:uid="{7FC81DB6-DD77-493F-8E78-1F507F86D380}"/>
  <sortState xmlns:xlrd2="http://schemas.microsoft.com/office/spreadsheetml/2017/richdata2" ref="A6:U9">
    <sortCondition ref="D5:D9"/>
  </sortState>
  <tableColumns count="21">
    <tableColumn id="9" xr3:uid="{295DB513-E3BF-443D-B7AB-C2B5AA70713B}" uniqueName="9" name="Opp" queryTableFieldId="91" dataDxfId="404"/>
    <tableColumn id="2" xr3:uid="{67589821-0A58-4D41-A215-8C450EC9D215}" uniqueName="2" name="Account" queryTableFieldId="79" dataDxfId="403"/>
    <tableColumn id="21" xr3:uid="{4BC7BE7D-0747-44E2-AF56-5B8692C9F90F}" uniqueName="21" name="Property" queryTableFieldId="21" dataDxfId="402"/>
    <tableColumn id="4" xr3:uid="{76F0B908-38BF-494C-BEC4-BD2F87897C79}" uniqueName="4" name="Install Date" queryTableFieldId="80" dataDxfId="401"/>
    <tableColumn id="5" xr3:uid="{3DB8A0A1-AD15-42B4-B93F-8C8B7CE020E6}" uniqueName="5" name="Go Live Date" queryTableFieldId="81" dataDxfId="400"/>
    <tableColumn id="3" xr3:uid="{48CC9FF1-67A5-4E07-9A66-341F3F9F4C92}" uniqueName="3" name="Days Till Install" queryTableFieldId="77" dataDxfId="399"/>
    <tableColumn id="6" xr3:uid="{C91110FA-BC11-4F24-8E41-B463AC3DE868}" uniqueName="6" name="Progress" queryTableFieldId="82" dataDxfId="398"/>
    <tableColumn id="7" xr3:uid="{7189F2FC-DDBA-4701-BF9E-184F23E652F5}" uniqueName="7" name="Region" queryTableFieldId="83" dataDxfId="397"/>
    <tableColumn id="8" xr3:uid="{A2B24F52-00F5-4B80-BA82-7DA41A01095E}" uniqueName="8" name="Lead SE" queryTableFieldId="84" dataDxfId="396"/>
    <tableColumn id="23" xr3:uid="{0EAFA3EE-2520-4452-90F9-75C8B2DE5708}" uniqueName="23" name="Sales Engagement_x000a_Hardware/Peripherals_x000a_Signed SO &amp; Approval" queryTableFieldId="44" dataDxfId="395"/>
    <tableColumn id="24" xr3:uid="{E822DCF6-DC42-46F6-8416-BEB0F1F4E070}" uniqueName="24" name="Licensing/Juristictional Approval" queryTableFieldId="45" dataDxfId="394"/>
    <tableColumn id="25" xr3:uid="{690FDC2F-B3D7-445B-B297-18146026D8AD}" uniqueName="25" name="PM Project Prep_x000a_Scheduling" queryTableFieldId="46" dataDxfId="393"/>
    <tableColumn id="26" xr3:uid="{3E01A266-1822-4684-823E-3DFD99E08387}" uniqueName="26" name="Scheduling_x000a_Customer Email Introduction" queryTableFieldId="47" dataDxfId="392"/>
    <tableColumn id="27" xr3:uid="{E3FB4019-213D-48EA-BF92-0666E79AA0A0}" uniqueName="27" name="Internal/Exteranl Kickoff" queryTableFieldId="48" dataDxfId="391"/>
    <tableColumn id="28" xr3:uid="{F265B61A-BB89-43BE-B5CC-A2820BF3A548}" uniqueName="28" name="Requirements Gathering _x000a_Tech Plan_x000a_Customer Documentation" queryTableFieldId="49" dataDxfId="390"/>
    <tableColumn id="29" xr3:uid="{83D71AE7-69E8-458B-8BF5-2D8C8FBB9F44}" uniqueName="29" name="RA/Network Topology" queryTableFieldId="50" dataDxfId="389"/>
    <tableColumn id="30" xr3:uid="{427A6149-A5AB-40A8-9F68-C6A7A8B358A5}" uniqueName="30" name="Project Planning_x000a_Software Order" queryTableFieldId="51" dataDxfId="388"/>
    <tableColumn id="31" xr3:uid="{8F35D6A2-F680-4629-8925-9262335A8DAC}" uniqueName="31" name="Training_x000a_Deployment Plan Acceptance" queryTableFieldId="52" dataDxfId="387"/>
    <tableColumn id="32" xr3:uid="{93088491-0163-4600-9645-13FA9FDEAA0B}" uniqueName="32" name="Sanity Check_x000a_Risk Assesment_x000a_Travel Planning_x000a_Server Verification" queryTableFieldId="53" dataDxfId="386"/>
    <tableColumn id="33" xr3:uid="{C8C6C293-1FC9-4401-B9B4-D07ED0EFA5ED}" uniqueName="33" name="Deployment Plan Evaluation" queryTableFieldId="54" dataDxfId="385"/>
    <tableColumn id="34" xr3:uid="{00577992-5B94-467A-A797-C4127E0F8AD2}" uniqueName="34" name="Post Go Live RCA" queryTableFieldId="55" dataDxfId="38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3EE60F-2F5E-426A-ADDD-1B4254222933}" name="Comp_Proj" displayName="Comp_Proj" ref="A5:U10" totalsRowShown="0" headerRowDxfId="789">
  <autoFilter ref="A5:U10" xr:uid="{DB3EE60F-2F5E-426A-ADDD-1B4254222933}"/>
  <tableColumns count="21">
    <tableColumn id="1" xr3:uid="{857DC7DC-DF45-4DAA-8933-4D44F3C29E7B}" name="Opp"/>
    <tableColumn id="2" xr3:uid="{2C729062-861B-43A4-9E09-C0A1E85071EE}" name="Account"/>
    <tableColumn id="3" xr3:uid="{7796E2D5-7935-4B23-B435-1EC909644E66}" name="Property"/>
    <tableColumn id="4" xr3:uid="{494D59C4-2318-4751-AFB6-4F25768F7ACB}" name="Install Date"/>
    <tableColumn id="5" xr3:uid="{78D59E53-78AA-4065-BE0E-B63373B77679}" name="Go Live Date"/>
    <tableColumn id="6" xr3:uid="{11C3EB1B-66E7-4B33-BF06-9288672A6D83}" name="Days Till Install"/>
    <tableColumn id="7" xr3:uid="{468086D5-B133-44D3-ABF5-E417CCC641F2}" name="Progress"/>
    <tableColumn id="8" xr3:uid="{B6768425-D060-45B2-810C-7EB52CEECC85}" name="Region"/>
    <tableColumn id="9" xr3:uid="{AFCDEDFA-DC18-4BFD-9CAF-C199666A36E0}" name="Lead SE"/>
    <tableColumn id="10" xr3:uid="{976D28FE-0F97-4ED0-A059-D4E3D79CA73A}" name="Sales Engagement_x000a_Hardware/Peripherals_x000a_Signed SO &amp; Approval"/>
    <tableColumn id="11" xr3:uid="{B023CA05-3849-4E35-8488-054BB26120A0}" name="Licensing/Juristictional Approval"/>
    <tableColumn id="12" xr3:uid="{ECEB7F5F-0C51-4AE7-8BA4-D349AC10F9A4}" name="PM Project Prep_x000a_Scheduling"/>
    <tableColumn id="13" xr3:uid="{7ADACBBF-6615-44DC-BCBC-E29D7D9B8F6C}" name="Scheduling_x000a_Customer Email Introduction"/>
    <tableColumn id="14" xr3:uid="{A72294B4-D84D-40D8-8BD1-D809BDA129CE}" name="Internal/Exteranl Kickoff"/>
    <tableColumn id="15" xr3:uid="{6349701F-A8A3-4798-8CE1-6D1DF28DB48F}" name="Requirements Gathering _x000a_Tech Plan_x000a_Customer Documentation"/>
    <tableColumn id="16" xr3:uid="{1BF5B8C2-8EE1-4E68-89C8-DAEFF9A3478C}" name="RA/Network Topology"/>
    <tableColumn id="17" xr3:uid="{F74B93BB-455A-46CF-B92F-1E055BCC2583}" name="Project Planning_x000a_Software Order"/>
    <tableColumn id="18" xr3:uid="{779D0710-DF62-4F09-B534-6E372CA8307F}" name="Training_x000a_Deployment Plan Acceptance"/>
    <tableColumn id="19" xr3:uid="{7521746D-BECC-433E-87DF-C3E17D202B6E}" name="Sanity Check_x000a_Risk Assesment_x000a_Travel Planning_x000a_Server Verification"/>
    <tableColumn id="20" xr3:uid="{6AE4E4DA-3049-4032-ABE4-BCE4C017379E}" name="Deployment Plan Evaluation"/>
    <tableColumn id="21" xr3:uid="{C443E939-CD79-4D5C-B81A-B1DD033C80B4}" name="Post Go Live RC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2B7F4-BB3E-43D3-AE33-7394D427BAF9}">
  <sheetPr codeName="Sheet1"/>
  <dimension ref="A1:O9"/>
  <sheetViews>
    <sheetView zoomScale="70" zoomScaleNormal="70" workbookViewId="0">
      <selection activeCell="H23" sqref="H22:H23"/>
    </sheetView>
  </sheetViews>
  <sheetFormatPr defaultRowHeight="14.25" x14ac:dyDescent="0.2"/>
  <cols>
    <col min="1" max="1" width="21" style="1" customWidth="1"/>
    <col min="2" max="2" width="35.28515625" style="1" bestFit="1" customWidth="1"/>
    <col min="3" max="3" width="17" style="1" customWidth="1"/>
    <col min="4" max="4" width="21.5703125" style="1" bestFit="1" customWidth="1"/>
    <col min="5" max="5" width="37.5703125" style="1" bestFit="1" customWidth="1"/>
    <col min="6" max="6" width="25.140625" style="1" bestFit="1" customWidth="1"/>
    <col min="7" max="7" width="18.42578125" style="1" bestFit="1" customWidth="1"/>
    <col min="8" max="8" width="24.42578125" style="1" customWidth="1"/>
    <col min="9" max="9" width="17.85546875" style="1" customWidth="1"/>
    <col min="10" max="10" width="12.7109375" style="1" customWidth="1"/>
    <col min="11" max="12" width="12" style="1" bestFit="1" customWidth="1"/>
    <col min="13" max="14" width="13.42578125" style="1" bestFit="1" customWidth="1"/>
    <col min="15" max="15" width="11.7109375" style="1" bestFit="1" customWidth="1"/>
    <col min="16" max="16384" width="9.140625" style="1"/>
  </cols>
  <sheetData>
    <row r="1" spans="1:15" ht="15" customHeight="1" x14ac:dyDescent="0.2">
      <c r="A1" s="3" t="s">
        <v>7</v>
      </c>
      <c r="B1" s="28" t="s">
        <v>6</v>
      </c>
      <c r="C1" s="29"/>
      <c r="D1" s="29"/>
      <c r="E1" s="29"/>
      <c r="F1" s="29"/>
      <c r="G1" s="29"/>
      <c r="H1" s="29"/>
      <c r="I1" s="30"/>
      <c r="J1" s="26"/>
    </row>
    <row r="2" spans="1:15" ht="14.25" customHeight="1" x14ac:dyDescent="0.2">
      <c r="A2" s="26">
        <f ca="1" xml:space="preserve"> TODAY()</f>
        <v>45429</v>
      </c>
      <c r="B2" s="31"/>
      <c r="C2" s="32"/>
      <c r="D2" s="32"/>
      <c r="E2" s="32"/>
      <c r="F2" s="32"/>
      <c r="G2" s="32"/>
      <c r="H2" s="32"/>
      <c r="I2" s="33"/>
      <c r="J2" s="27"/>
    </row>
    <row r="3" spans="1:15" ht="15" customHeight="1" thickBot="1" x14ac:dyDescent="0.25">
      <c r="A3" s="27"/>
      <c r="B3" s="31"/>
      <c r="C3" s="32"/>
      <c r="D3" s="32"/>
      <c r="E3" s="32"/>
      <c r="F3" s="32"/>
      <c r="G3" s="32"/>
      <c r="H3" s="32"/>
      <c r="I3" s="33"/>
      <c r="J3" s="9"/>
    </row>
    <row r="4" spans="1:15" s="2" customFormat="1" ht="15.75" thickBot="1" x14ac:dyDescent="0.25">
      <c r="A4" s="10"/>
      <c r="B4" s="7"/>
      <c r="C4" s="8"/>
      <c r="D4" s="12" t="s">
        <v>50</v>
      </c>
      <c r="E4" s="8" t="s">
        <v>49</v>
      </c>
      <c r="F4" s="8" t="s">
        <v>48</v>
      </c>
      <c r="G4" s="8" t="s">
        <v>47</v>
      </c>
      <c r="H4" s="8" t="s">
        <v>46</v>
      </c>
      <c r="I4" s="8" t="s">
        <v>45</v>
      </c>
      <c r="J4" s="8" t="s">
        <v>44</v>
      </c>
      <c r="K4" s="8" t="s">
        <v>43</v>
      </c>
      <c r="L4" s="8" t="s">
        <v>42</v>
      </c>
      <c r="M4" s="8" t="s">
        <v>41</v>
      </c>
      <c r="N4" s="8" t="s">
        <v>40</v>
      </c>
      <c r="O4" s="8" t="s">
        <v>51</v>
      </c>
    </row>
    <row r="5" spans="1:15" ht="114" x14ac:dyDescent="0.2">
      <c r="A5" s="4" t="s">
        <v>12</v>
      </c>
      <c r="B5" s="5" t="s">
        <v>1</v>
      </c>
      <c r="C5" s="5" t="s">
        <v>74</v>
      </c>
      <c r="D5" s="14" t="s">
        <v>39</v>
      </c>
      <c r="E5" s="14" t="s">
        <v>38</v>
      </c>
      <c r="F5" s="14" t="s">
        <v>37</v>
      </c>
      <c r="G5" s="14" t="s">
        <v>36</v>
      </c>
      <c r="H5" s="14" t="s">
        <v>35</v>
      </c>
      <c r="I5" s="14" t="s">
        <v>34</v>
      </c>
      <c r="J5" s="14" t="s">
        <v>33</v>
      </c>
      <c r="K5" s="14" t="s">
        <v>32</v>
      </c>
      <c r="L5" s="14" t="s">
        <v>31</v>
      </c>
      <c r="M5" s="14" t="s">
        <v>30</v>
      </c>
      <c r="N5" s="15" t="s">
        <v>29</v>
      </c>
      <c r="O5" s="15" t="s">
        <v>28</v>
      </c>
    </row>
    <row r="6" spans="1:15" x14ac:dyDescent="0.2">
      <c r="A6" s="1" t="s">
        <v>13</v>
      </c>
      <c r="B6" s="1" t="s">
        <v>2</v>
      </c>
      <c r="C6" s="24">
        <v>45380</v>
      </c>
      <c r="D6" s="6">
        <f t="shared" ref="D6:D9" si="0">IF(ISBLANK(C6), "", C6 - 84)</f>
        <v>45296</v>
      </c>
      <c r="E6" s="6">
        <f t="shared" ref="E6:E8" si="1">IF(ISBLANK(C6), "", C6 - 77)</f>
        <v>45303</v>
      </c>
      <c r="F6" s="6">
        <f t="shared" ref="F6:F8" si="2">IF(ISBLANK(C6), "", C6 - 70)</f>
        <v>45310</v>
      </c>
      <c r="G6" s="6">
        <f t="shared" ref="G6:G8" si="3">IF(ISBLANK(C6), "", C6 - 63)</f>
        <v>45317</v>
      </c>
      <c r="H6" s="6">
        <f t="shared" ref="H6:H8" si="4">IF(ISBLANK(C6), "", C6 - 56)</f>
        <v>45324</v>
      </c>
      <c r="I6" s="16">
        <f t="shared" ref="I6:I8" si="5">IF(ISBLANK(C6), "", C6 - 49)</f>
        <v>45331</v>
      </c>
      <c r="J6" s="6">
        <f t="shared" ref="J6:J8" si="6">IF(ISBLANK(C6), "", C6 - 42)</f>
        <v>45338</v>
      </c>
      <c r="K6" s="6">
        <f t="shared" ref="K6:K8" si="7">IF(ISBLANK(C6), "", C6 - 35)</f>
        <v>45345</v>
      </c>
      <c r="L6" s="13">
        <f t="shared" ref="L6:L8" si="8">IF(ISBLANK(C6), "", C6 - 28)</f>
        <v>45352</v>
      </c>
      <c r="M6" s="6">
        <f t="shared" ref="M6:M8" si="9">IF(ISBLANK(C6), "", C6 - 21)</f>
        <v>45359</v>
      </c>
      <c r="N6" s="6">
        <f t="shared" ref="N6:N8" si="10">IF(ISBLANK(C6), "", C6 - 14)</f>
        <v>45366</v>
      </c>
      <c r="O6" s="6"/>
    </row>
    <row r="7" spans="1:15" x14ac:dyDescent="0.2">
      <c r="A7" s="1" t="s">
        <v>20</v>
      </c>
      <c r="B7" s="1" t="s">
        <v>10</v>
      </c>
      <c r="C7" s="24"/>
      <c r="D7" s="6" t="str">
        <f t="shared" si="0"/>
        <v/>
      </c>
      <c r="E7" s="6" t="str">
        <f t="shared" si="1"/>
        <v/>
      </c>
      <c r="F7" s="6" t="str">
        <f t="shared" si="2"/>
        <v/>
      </c>
      <c r="G7" s="6" t="str">
        <f t="shared" si="3"/>
        <v/>
      </c>
      <c r="H7" s="6" t="str">
        <f t="shared" si="4"/>
        <v/>
      </c>
      <c r="I7" s="16" t="str">
        <f t="shared" si="5"/>
        <v/>
      </c>
      <c r="J7" s="6" t="str">
        <f t="shared" si="6"/>
        <v/>
      </c>
      <c r="K7" s="11" t="str">
        <f t="shared" si="7"/>
        <v/>
      </c>
      <c r="L7" s="13" t="str">
        <f t="shared" si="8"/>
        <v/>
      </c>
      <c r="M7" s="11" t="str">
        <f t="shared" si="9"/>
        <v/>
      </c>
      <c r="N7" s="11" t="str">
        <f t="shared" si="10"/>
        <v/>
      </c>
      <c r="O7" s="11"/>
    </row>
    <row r="8" spans="1:15" x14ac:dyDescent="0.2">
      <c r="A8" s="1" t="s">
        <v>68</v>
      </c>
      <c r="B8" s="1" t="s">
        <v>69</v>
      </c>
      <c r="C8" s="24">
        <v>45520</v>
      </c>
      <c r="D8" s="6">
        <f t="shared" si="0"/>
        <v>45436</v>
      </c>
      <c r="E8" s="6">
        <f t="shared" si="1"/>
        <v>45443</v>
      </c>
      <c r="F8" s="6">
        <f t="shared" si="2"/>
        <v>45450</v>
      </c>
      <c r="G8" s="6">
        <f t="shared" si="3"/>
        <v>45457</v>
      </c>
      <c r="H8" s="6">
        <f t="shared" si="4"/>
        <v>45464</v>
      </c>
      <c r="I8" s="16">
        <f t="shared" si="5"/>
        <v>45471</v>
      </c>
      <c r="J8" s="6">
        <f t="shared" si="6"/>
        <v>45478</v>
      </c>
      <c r="K8" s="6">
        <f t="shared" si="7"/>
        <v>45485</v>
      </c>
      <c r="L8" s="13">
        <f t="shared" si="8"/>
        <v>45492</v>
      </c>
      <c r="M8" s="6">
        <f t="shared" si="9"/>
        <v>45499</v>
      </c>
      <c r="N8" s="6">
        <f t="shared" si="10"/>
        <v>45506</v>
      </c>
      <c r="O8" s="6"/>
    </row>
    <row r="9" spans="1:15" x14ac:dyDescent="0.2">
      <c r="A9" s="1" t="s">
        <v>18</v>
      </c>
      <c r="B9" s="1" t="s">
        <v>9</v>
      </c>
      <c r="C9" s="24">
        <v>45493</v>
      </c>
      <c r="D9" s="6">
        <f t="shared" si="0"/>
        <v>45409</v>
      </c>
      <c r="E9" s="6">
        <f>IF(ISBLANK(C9), "", C9 - 77)</f>
        <v>45416</v>
      </c>
      <c r="F9" s="6">
        <f>IF(ISBLANK(C9), "", C9 - 70)</f>
        <v>45423</v>
      </c>
      <c r="G9" s="6">
        <f>IF(ISBLANK(C9), "", C9 - 63)</f>
        <v>45430</v>
      </c>
      <c r="H9" s="6">
        <f>IF(ISBLANK(C9), "", C9 - 56)</f>
        <v>45437</v>
      </c>
      <c r="I9" s="6">
        <f>IF(ISBLANK(C9), "", C9 - 49)</f>
        <v>45444</v>
      </c>
      <c r="J9" s="6">
        <f>IF(ISBLANK(C9), "", C9 - 42)</f>
        <v>45451</v>
      </c>
      <c r="K9" s="6">
        <f>IF(ISBLANK(C9), "", C9 - 35)</f>
        <v>45458</v>
      </c>
      <c r="L9" s="11">
        <f>IF(ISBLANK(C9), "", C9 - 28)</f>
        <v>45465</v>
      </c>
      <c r="M9" s="6">
        <f>IF(ISBLANK(C9), "", C9 - 21)</f>
        <v>45472</v>
      </c>
      <c r="N9" s="6">
        <f>IF(ISBLANK(C9), "", C9 - 14)</f>
        <v>45479</v>
      </c>
      <c r="O9" s="6"/>
    </row>
  </sheetData>
  <mergeCells count="3">
    <mergeCell ref="A2:A3"/>
    <mergeCell ref="B1:I3"/>
    <mergeCell ref="J1:J2"/>
  </mergeCells>
  <conditionalFormatting sqref="D6:D9">
    <cfRule type="expression" dxfId="1438" priority="19">
      <formula>$D6-TODAY()&gt;40</formula>
    </cfRule>
    <cfRule type="expression" dxfId="1437" priority="20">
      <formula>AND($D6-TODAY()&gt;=30, $D6-TODAY()&lt;=40)</formula>
    </cfRule>
    <cfRule type="expression" dxfId="1436" priority="21">
      <formula>AND($D6&lt;&gt;"", $D6-TODAY()&lt;30)</formula>
    </cfRule>
  </conditionalFormatting>
  <conditionalFormatting sqref="E6:E9 G6:H9">
    <cfRule type="expression" dxfId="1435" priority="16">
      <formula>AND($D6&lt;&gt;"", $D6-TODAY()&lt;30)</formula>
    </cfRule>
    <cfRule type="expression" dxfId="1434" priority="17">
      <formula>AND($D6-TODAY()&gt;=30, $D6-TODAY()&lt;=40)</formula>
    </cfRule>
    <cfRule type="expression" dxfId="1433" priority="18">
      <formula>$D6-TODAY()&gt;40</formula>
    </cfRule>
  </conditionalFormatting>
  <conditionalFormatting sqref="E6:F9">
    <cfRule type="expression" dxfId="1432" priority="14">
      <formula>AND($D6-TODAY()&gt;=30, $D6-TODAY()&lt;=40)</formula>
    </cfRule>
  </conditionalFormatting>
  <conditionalFormatting sqref="F6:F9">
    <cfRule type="expression" dxfId="1431" priority="13">
      <formula>AND($D6&lt;&gt;"", $D6-TODAY()&lt;30)</formula>
    </cfRule>
    <cfRule type="expression" dxfId="1430" priority="15">
      <formula>$D6-TODAY()&gt;40</formula>
    </cfRule>
  </conditionalFormatting>
  <conditionalFormatting sqref="M6:M9">
    <cfRule type="expression" dxfId="1429" priority="4">
      <formula>$E6-TODAY()&gt;40</formula>
    </cfRule>
    <cfRule type="expression" dxfId="1428" priority="5">
      <formula>AND($E6-TODAY()&gt;=30, $E6-TODAY()&lt;=40)</formula>
    </cfRule>
    <cfRule type="expression" dxfId="1427" priority="6">
      <formula>AND($E6&lt;&gt;"", $E6-TODAY()&lt;30)</formula>
    </cfRule>
  </conditionalFormatting>
  <conditionalFormatting sqref="N6:N9">
    <cfRule type="expression" dxfId="1426" priority="1">
      <formula>AND($E6&lt;&gt;"", $E6-TODAY()&lt;30)</formula>
    </cfRule>
    <cfRule type="expression" dxfId="1425" priority="2">
      <formula>AND($E6-TODAY()&gt;=30, $E6-TODAY()&lt;=40)</formula>
    </cfRule>
    <cfRule type="expression" dxfId="1424" priority="3">
      <formula>$E6-TODAY()&gt;40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CF80A-D851-464A-BD6D-DF55A088FBF5}">
  <sheetPr codeName="Sheet2"/>
  <dimension ref="A1:U9"/>
  <sheetViews>
    <sheetView tabSelected="1" workbookViewId="0">
      <selection activeCell="A6" sqref="A6"/>
    </sheetView>
  </sheetViews>
  <sheetFormatPr defaultRowHeight="14.25" x14ac:dyDescent="0.2"/>
  <cols>
    <col min="1" max="1" width="13.42578125" style="1" bestFit="1" customWidth="1"/>
    <col min="2" max="2" width="61.5703125" style="1" bestFit="1" customWidth="1"/>
    <col min="3" max="3" width="35.28515625" style="1" bestFit="1" customWidth="1"/>
    <col min="4" max="4" width="14.85546875" style="1" bestFit="1" customWidth="1"/>
    <col min="5" max="5" width="16.140625" style="1" bestFit="1" customWidth="1"/>
    <col min="6" max="6" width="18.5703125" style="1" bestFit="1" customWidth="1"/>
    <col min="7" max="7" width="12.140625" style="1" bestFit="1" customWidth="1"/>
    <col min="8" max="8" width="10.42578125" style="1" bestFit="1" customWidth="1"/>
    <col min="9" max="9" width="17" style="1" bestFit="1" customWidth="1"/>
    <col min="10" max="10" width="25.5703125" style="1" bestFit="1" customWidth="1"/>
    <col min="11" max="11" width="36.5703125" style="1" bestFit="1" customWidth="1"/>
    <col min="12" max="13" width="19.28515625" style="1" bestFit="1" customWidth="1"/>
    <col min="14" max="14" width="28.42578125" style="1" bestFit="1" customWidth="1"/>
    <col min="15" max="15" width="29.7109375" style="1" bestFit="1" customWidth="1"/>
    <col min="16" max="16" width="26" style="1" bestFit="1" customWidth="1"/>
    <col min="17" max="17" width="19.85546875" style="1" bestFit="1" customWidth="1"/>
    <col min="18" max="18" width="20.5703125" style="1" bestFit="1" customWidth="1"/>
    <col min="19" max="19" width="22.140625" style="1" bestFit="1" customWidth="1"/>
    <col min="20" max="20" width="31.85546875" style="1" bestFit="1" customWidth="1"/>
    <col min="21" max="21" width="20.85546875" style="1" bestFit="1" customWidth="1"/>
    <col min="22" max="22" width="23.140625" style="1" bestFit="1" customWidth="1"/>
    <col min="23" max="23" width="33.140625" style="1" bestFit="1" customWidth="1"/>
    <col min="24" max="24" width="38.28515625" style="1" bestFit="1" customWidth="1"/>
    <col min="25" max="25" width="63.42578125" style="1" bestFit="1" customWidth="1"/>
    <col min="26" max="26" width="28.85546875" style="1" bestFit="1" customWidth="1"/>
    <col min="27" max="28" width="18.28515625" style="1" bestFit="1" customWidth="1"/>
    <col min="29" max="29" width="62.140625" style="1" bestFit="1" customWidth="1"/>
    <col min="30" max="30" width="32.7109375" style="1" bestFit="1" customWidth="1"/>
    <col min="31" max="31" width="29" style="1" bestFit="1" customWidth="1"/>
    <col min="32" max="32" width="40.42578125" style="1" bestFit="1" customWidth="1"/>
    <col min="33" max="33" width="25.42578125" style="1" bestFit="1" customWidth="1"/>
    <col min="34" max="34" width="60.5703125" style="1" bestFit="1" customWidth="1"/>
    <col min="35" max="35" width="23.140625" style="1" bestFit="1" customWidth="1"/>
    <col min="36" max="36" width="33.140625" style="1" bestFit="1" customWidth="1"/>
    <col min="37" max="37" width="38.28515625" style="1" bestFit="1" customWidth="1"/>
    <col min="38" max="38" width="63.42578125" style="1" bestFit="1" customWidth="1"/>
    <col min="39" max="39" width="28.85546875" style="1" bestFit="1" customWidth="1"/>
    <col min="40" max="40" width="18.28515625" style="1" bestFit="1" customWidth="1"/>
    <col min="41" max="41" width="19.5703125" style="1" bestFit="1" customWidth="1"/>
    <col min="42" max="42" width="33.7109375" style="1" bestFit="1" customWidth="1"/>
    <col min="43" max="43" width="22.85546875" style="1" bestFit="1" customWidth="1"/>
    <col min="44" max="44" width="16.5703125" style="1" bestFit="1" customWidth="1"/>
    <col min="45" max="45" width="22" style="1" bestFit="1" customWidth="1"/>
    <col min="46" max="46" width="11.85546875" style="1" bestFit="1" customWidth="1"/>
    <col min="47" max="47" width="8.7109375" style="1" bestFit="1" customWidth="1"/>
    <col min="48" max="48" width="10.7109375" style="1" bestFit="1" customWidth="1"/>
    <col min="49" max="49" width="32.85546875" style="1" bestFit="1" customWidth="1"/>
    <col min="50" max="50" width="13.28515625" style="1" bestFit="1" customWidth="1"/>
    <col min="51" max="51" width="19.5703125" style="1" bestFit="1" customWidth="1"/>
    <col min="52" max="52" width="33.7109375" style="1" bestFit="1" customWidth="1"/>
    <col min="53" max="53" width="22.85546875" style="1" bestFit="1" customWidth="1"/>
    <col min="54" max="54" width="16.5703125" style="1" bestFit="1" customWidth="1"/>
    <col min="55" max="55" width="22" style="1" bestFit="1" customWidth="1"/>
    <col min="56" max="56" width="11.85546875" style="1" bestFit="1" customWidth="1"/>
    <col min="57" max="57" width="8.7109375" style="1" bestFit="1" customWidth="1"/>
    <col min="58" max="16384" width="9.140625" style="1"/>
  </cols>
  <sheetData>
    <row r="1" spans="1:21" ht="15.75" customHeight="1" x14ac:dyDescent="0.2">
      <c r="A1" s="23" t="s">
        <v>7</v>
      </c>
      <c r="B1" s="34" t="s">
        <v>6</v>
      </c>
      <c r="C1" s="35"/>
      <c r="D1" s="35"/>
      <c r="E1" s="35"/>
      <c r="F1" s="35"/>
      <c r="G1" s="35"/>
      <c r="H1" s="35"/>
      <c r="I1" s="3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21" ht="15" customHeight="1" x14ac:dyDescent="0.2">
      <c r="A2" s="43">
        <f ca="1" xml:space="preserve"> TODAY()</f>
        <v>45429</v>
      </c>
      <c r="B2" s="37"/>
      <c r="C2" s="38"/>
      <c r="D2" s="38"/>
      <c r="E2" s="38"/>
      <c r="F2" s="38"/>
      <c r="G2" s="38"/>
      <c r="H2" s="38"/>
      <c r="I2" s="39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9"/>
    </row>
    <row r="3" spans="1:21" ht="15" customHeight="1" thickBot="1" x14ac:dyDescent="0.25">
      <c r="A3" s="44"/>
      <c r="B3" s="40"/>
      <c r="C3" s="41"/>
      <c r="D3" s="41"/>
      <c r="E3" s="41"/>
      <c r="F3" s="41"/>
      <c r="G3" s="41"/>
      <c r="H3" s="41"/>
      <c r="I3" s="42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1"/>
    </row>
    <row r="4" spans="1:21" s="19" customFormat="1" ht="18" x14ac:dyDescent="0.25">
      <c r="A4" s="45" t="s">
        <v>66</v>
      </c>
      <c r="B4" s="45"/>
      <c r="C4" s="45"/>
      <c r="D4" s="45"/>
      <c r="E4" s="45"/>
      <c r="F4" s="45"/>
      <c r="G4" s="45"/>
      <c r="H4" s="45"/>
      <c r="I4" s="45"/>
      <c r="J4" s="17" t="s">
        <v>50</v>
      </c>
      <c r="K4" s="18" t="s">
        <v>49</v>
      </c>
      <c r="L4" s="18" t="s">
        <v>48</v>
      </c>
      <c r="M4" s="18" t="s">
        <v>47</v>
      </c>
      <c r="N4" s="18" t="s">
        <v>46</v>
      </c>
      <c r="O4" s="18" t="s">
        <v>45</v>
      </c>
      <c r="P4" s="18" t="s">
        <v>44</v>
      </c>
      <c r="Q4" s="18" t="s">
        <v>43</v>
      </c>
      <c r="R4" s="18" t="s">
        <v>42</v>
      </c>
      <c r="S4" s="18" t="s">
        <v>41</v>
      </c>
      <c r="T4" s="18" t="s">
        <v>40</v>
      </c>
      <c r="U4" s="18" t="s">
        <v>51</v>
      </c>
    </row>
    <row r="5" spans="1:21" s="22" customFormat="1" ht="57" x14ac:dyDescent="0.25">
      <c r="A5" s="20" t="s">
        <v>67</v>
      </c>
      <c r="B5" s="21" t="s">
        <v>60</v>
      </c>
      <c r="C5" s="22" t="s">
        <v>1</v>
      </c>
      <c r="D5" s="22" t="s">
        <v>0</v>
      </c>
      <c r="E5" s="22" t="s">
        <v>61</v>
      </c>
      <c r="F5" s="22" t="s">
        <v>62</v>
      </c>
      <c r="G5" s="22" t="s">
        <v>63</v>
      </c>
      <c r="H5" s="22" t="s">
        <v>64</v>
      </c>
      <c r="I5" s="22" t="s">
        <v>65</v>
      </c>
      <c r="J5" s="22" t="s">
        <v>39</v>
      </c>
      <c r="K5" s="22" t="s">
        <v>38</v>
      </c>
      <c r="L5" s="22" t="s">
        <v>37</v>
      </c>
      <c r="M5" s="22" t="s">
        <v>36</v>
      </c>
      <c r="N5" s="22" t="s">
        <v>35</v>
      </c>
      <c r="O5" s="22" t="s">
        <v>34</v>
      </c>
      <c r="P5" s="22" t="s">
        <v>33</v>
      </c>
      <c r="Q5" s="22" t="s">
        <v>32</v>
      </c>
      <c r="R5" s="22" t="s">
        <v>31</v>
      </c>
      <c r="S5" s="22" t="s">
        <v>30</v>
      </c>
      <c r="T5" s="22" t="s">
        <v>29</v>
      </c>
      <c r="U5" s="22" t="s">
        <v>28</v>
      </c>
    </row>
    <row r="6" spans="1:21" x14ac:dyDescent="0.2">
      <c r="A6" s="1" t="s">
        <v>13</v>
      </c>
      <c r="B6" s="1" t="s">
        <v>53</v>
      </c>
      <c r="C6" s="1" t="s">
        <v>2</v>
      </c>
      <c r="D6" s="24">
        <v>45380</v>
      </c>
      <c r="E6" s="24">
        <v>45380</v>
      </c>
      <c r="F6" s="1">
        <v>-49</v>
      </c>
      <c r="G6" s="1" t="s">
        <v>24</v>
      </c>
      <c r="H6" s="1" t="s">
        <v>23</v>
      </c>
      <c r="I6" s="1" t="s">
        <v>26</v>
      </c>
      <c r="J6" s="24">
        <v>45296</v>
      </c>
      <c r="K6" s="24">
        <v>45303</v>
      </c>
      <c r="L6" s="24">
        <v>45310</v>
      </c>
      <c r="M6" s="24">
        <v>45317</v>
      </c>
      <c r="N6" s="24">
        <v>45324</v>
      </c>
      <c r="O6" s="24">
        <v>45331</v>
      </c>
      <c r="P6" s="24">
        <v>45338</v>
      </c>
      <c r="Q6" s="24">
        <v>45345</v>
      </c>
      <c r="R6" s="24">
        <v>45352</v>
      </c>
      <c r="S6" s="24">
        <v>45359</v>
      </c>
      <c r="T6" s="24">
        <v>45366</v>
      </c>
      <c r="U6" s="24"/>
    </row>
    <row r="7" spans="1:21" x14ac:dyDescent="0.2">
      <c r="A7" s="1" t="s">
        <v>18</v>
      </c>
      <c r="B7" s="1" t="s">
        <v>59</v>
      </c>
      <c r="C7" s="1" t="s">
        <v>9</v>
      </c>
      <c r="D7" s="24">
        <v>45471</v>
      </c>
      <c r="E7" s="24">
        <v>45493</v>
      </c>
      <c r="F7" s="1">
        <v>42</v>
      </c>
      <c r="G7" s="1" t="s">
        <v>24</v>
      </c>
      <c r="H7" s="1" t="s">
        <v>23</v>
      </c>
      <c r="J7" s="24">
        <v>45409</v>
      </c>
      <c r="K7" s="24">
        <v>45416</v>
      </c>
      <c r="L7" s="24">
        <v>45423</v>
      </c>
      <c r="M7" s="24">
        <v>45430</v>
      </c>
      <c r="N7" s="24">
        <v>45437</v>
      </c>
      <c r="O7" s="24">
        <v>45444</v>
      </c>
      <c r="P7" s="24">
        <v>45451</v>
      </c>
      <c r="Q7" s="24">
        <v>45458</v>
      </c>
      <c r="R7" s="24">
        <v>45465</v>
      </c>
      <c r="S7" s="24">
        <v>45472</v>
      </c>
      <c r="T7" s="24">
        <v>45479</v>
      </c>
      <c r="U7" s="24"/>
    </row>
    <row r="8" spans="1:21" x14ac:dyDescent="0.2">
      <c r="A8" s="1" t="s">
        <v>68</v>
      </c>
      <c r="B8" s="1" t="s">
        <v>70</v>
      </c>
      <c r="C8" s="1" t="s">
        <v>69</v>
      </c>
      <c r="D8" s="24">
        <v>45473</v>
      </c>
      <c r="E8" s="24">
        <v>45520</v>
      </c>
      <c r="F8" s="1">
        <v>44</v>
      </c>
      <c r="G8" s="1" t="s">
        <v>24</v>
      </c>
      <c r="H8" s="1" t="s">
        <v>71</v>
      </c>
      <c r="J8" s="24">
        <v>45436</v>
      </c>
      <c r="K8" s="24">
        <v>45443</v>
      </c>
      <c r="L8" s="24">
        <v>45450</v>
      </c>
      <c r="M8" s="24">
        <v>45457</v>
      </c>
      <c r="N8" s="24">
        <v>45464</v>
      </c>
      <c r="O8" s="24">
        <v>45471</v>
      </c>
      <c r="P8" s="24">
        <v>45478</v>
      </c>
      <c r="Q8" s="24">
        <v>45485</v>
      </c>
      <c r="R8" s="24">
        <v>45492</v>
      </c>
      <c r="S8" s="24">
        <v>45499</v>
      </c>
      <c r="T8" s="24">
        <v>45506</v>
      </c>
      <c r="U8" s="24"/>
    </row>
    <row r="9" spans="1:21" x14ac:dyDescent="0.2">
      <c r="A9" s="1" t="s">
        <v>20</v>
      </c>
      <c r="B9" s="1" t="s">
        <v>57</v>
      </c>
      <c r="C9" s="1" t="s">
        <v>10</v>
      </c>
      <c r="D9" s="24">
        <v>45499</v>
      </c>
      <c r="E9" s="24"/>
      <c r="F9" s="1">
        <v>70</v>
      </c>
      <c r="G9" s="1" t="s">
        <v>24</v>
      </c>
      <c r="H9" s="1" t="s">
        <v>21</v>
      </c>
      <c r="I9" s="1" t="s">
        <v>25</v>
      </c>
      <c r="J9" s="24" t="s">
        <v>73</v>
      </c>
      <c r="K9" s="24" t="s">
        <v>73</v>
      </c>
      <c r="L9" s="24" t="s">
        <v>73</v>
      </c>
      <c r="M9" s="24" t="s">
        <v>73</v>
      </c>
      <c r="N9" s="24" t="s">
        <v>73</v>
      </c>
      <c r="O9" s="24" t="s">
        <v>73</v>
      </c>
      <c r="P9" s="24" t="s">
        <v>73</v>
      </c>
      <c r="Q9" s="24" t="s">
        <v>73</v>
      </c>
      <c r="R9" s="24" t="s">
        <v>73</v>
      </c>
      <c r="S9" s="24" t="s">
        <v>73</v>
      </c>
      <c r="T9" s="24" t="s">
        <v>73</v>
      </c>
      <c r="U9" s="24"/>
    </row>
  </sheetData>
  <mergeCells count="4">
    <mergeCell ref="B1:I3"/>
    <mergeCell ref="A2:A3"/>
    <mergeCell ref="A4:I4"/>
    <mergeCell ref="J1:U3"/>
  </mergeCells>
  <phoneticPr fontId="6" type="noConversion"/>
  <conditionalFormatting sqref="J10">
    <cfRule type="expression" dxfId="1403" priority="4070" stopIfTrue="1">
      <formula>AND(J10&lt;&gt;"", D9 - J10 &lt;= 14, D9 - J10 &gt; 7)</formula>
    </cfRule>
  </conditionalFormatting>
  <conditionalFormatting sqref="J10">
    <cfRule type="expression" dxfId="1402" priority="4071" stopIfTrue="1">
      <formula>AND(J10&lt;&gt;"", D9 - J10 &lt;= 7, D9 - J10 &gt; 1)</formula>
    </cfRule>
  </conditionalFormatting>
  <conditionalFormatting sqref="J10">
    <cfRule type="expression" dxfId="1401" priority="4072" stopIfTrue="1">
      <formula>AND(J10&lt;&gt;"", D9 - J10 &lt;= 1)</formula>
    </cfRule>
  </conditionalFormatting>
  <conditionalFormatting sqref="K10">
    <cfRule type="expression" dxfId="1400" priority="4073" stopIfTrue="1">
      <formula>AND(K10&lt;&gt;"", D9 - K10 &lt;= 14, D9 - K10 &gt; 7)</formula>
    </cfRule>
  </conditionalFormatting>
  <conditionalFormatting sqref="K10">
    <cfRule type="expression" dxfId="1399" priority="4074" stopIfTrue="1">
      <formula>AND(K10&lt;&gt;"", D9 - K10 &lt;= 7, D9 - K10 &gt; 1)</formula>
    </cfRule>
  </conditionalFormatting>
  <conditionalFormatting sqref="K10">
    <cfRule type="expression" dxfId="1398" priority="4075" stopIfTrue="1">
      <formula>AND(K10&lt;&gt;"", D9 - K10 &lt;= 1)</formula>
    </cfRule>
  </conditionalFormatting>
  <conditionalFormatting sqref="L10">
    <cfRule type="expression" dxfId="1397" priority="4076" stopIfTrue="1">
      <formula>AND(L10&lt;&gt;"", D9 - L10 &lt;= 14, D9 - L10 &gt; 7)</formula>
    </cfRule>
  </conditionalFormatting>
  <conditionalFormatting sqref="L10">
    <cfRule type="expression" dxfId="1396" priority="4077" stopIfTrue="1">
      <formula>AND(L10&lt;&gt;"", D9 - L10 &lt;= 7, D9 - L10 &gt; 1)</formula>
    </cfRule>
  </conditionalFormatting>
  <conditionalFormatting sqref="L10">
    <cfRule type="expression" dxfId="1395" priority="4078" stopIfTrue="1">
      <formula>AND(L10&lt;&gt;"", D9 - L10 &lt;= 1)</formula>
    </cfRule>
  </conditionalFormatting>
  <conditionalFormatting sqref="M10">
    <cfRule type="expression" dxfId="1394" priority="4079" stopIfTrue="1">
      <formula>AND(M10&lt;&gt;"", D9 - M10 &lt;= 14, D9 - M10 &gt; 7)</formula>
    </cfRule>
  </conditionalFormatting>
  <conditionalFormatting sqref="M10">
    <cfRule type="expression" dxfId="1393" priority="4080" stopIfTrue="1">
      <formula>AND(M10&lt;&gt;"", D9 - M10 &lt;= 7, D9 - M10 &gt; 1)</formula>
    </cfRule>
  </conditionalFormatting>
  <conditionalFormatting sqref="M10">
    <cfRule type="expression" dxfId="1392" priority="4081" stopIfTrue="1">
      <formula>AND(M10&lt;&gt;"", D9 - M10 &lt;= 1)</formula>
    </cfRule>
  </conditionalFormatting>
  <conditionalFormatting sqref="N10">
    <cfRule type="expression" dxfId="1391" priority="4082" stopIfTrue="1">
      <formula>AND(N10&lt;&gt;"", D9 - N10 &lt;= 14, D9 - N10 &gt; 7)</formula>
    </cfRule>
  </conditionalFormatting>
  <conditionalFormatting sqref="N10">
    <cfRule type="expression" dxfId="1390" priority="4083" stopIfTrue="1">
      <formula>AND(N10&lt;&gt;"", D9 - N10 &lt;= 7, D9 - N10 &gt; 1)</formula>
    </cfRule>
  </conditionalFormatting>
  <conditionalFormatting sqref="N10">
    <cfRule type="expression" dxfId="1389" priority="4084" stopIfTrue="1">
      <formula>AND(N10&lt;&gt;"", D9 - N10 &lt;= 1)</formula>
    </cfRule>
  </conditionalFormatting>
  <conditionalFormatting sqref="O10">
    <cfRule type="expression" dxfId="1388" priority="4085" stopIfTrue="1">
      <formula>AND(O10&lt;&gt;"", D9 - O10 &lt;= 14, D9 - O10 &gt; 7)</formula>
    </cfRule>
  </conditionalFormatting>
  <conditionalFormatting sqref="O10">
    <cfRule type="expression" dxfId="1387" priority="4086" stopIfTrue="1">
      <formula>AND(O10&lt;&gt;"", D9 - O10 &lt;= 7, D9 - O10 &gt; 1)</formula>
    </cfRule>
  </conditionalFormatting>
  <conditionalFormatting sqref="O10">
    <cfRule type="expression" dxfId="1386" priority="4087" stopIfTrue="1">
      <formula>AND(O10&lt;&gt;"", D9 - O10 &lt;= 1)</formula>
    </cfRule>
  </conditionalFormatting>
  <conditionalFormatting sqref="P10">
    <cfRule type="expression" dxfId="1385" priority="4088" stopIfTrue="1">
      <formula>AND(P10&lt;&gt;"", D9 - P10 &lt;= 14, D9 - P10 &gt; 7)</formula>
    </cfRule>
  </conditionalFormatting>
  <conditionalFormatting sqref="P10">
    <cfRule type="expression" dxfId="1384" priority="4089" stopIfTrue="1">
      <formula>AND(P10&lt;&gt;"", D9 - P10 &lt;= 7, D9 - P10 &gt; 1)</formula>
    </cfRule>
  </conditionalFormatting>
  <conditionalFormatting sqref="P10">
    <cfRule type="expression" dxfId="1383" priority="4090" stopIfTrue="1">
      <formula>AND(P10&lt;&gt;"", D9 - P10 &lt;= 1)</formula>
    </cfRule>
  </conditionalFormatting>
  <conditionalFormatting sqref="Q10">
    <cfRule type="expression" dxfId="1382" priority="4091" stopIfTrue="1">
      <formula>AND(Q10&lt;&gt;"", D9 - Q10 &lt;= 14, D9 - Q10 &gt; 7)</formula>
    </cfRule>
  </conditionalFormatting>
  <conditionalFormatting sqref="Q10">
    <cfRule type="expression" dxfId="1381" priority="4092" stopIfTrue="1">
      <formula>AND(Q10&lt;&gt;"", D9 - Q10 &lt;= 7, D9 - Q10 &gt; 1)</formula>
    </cfRule>
  </conditionalFormatting>
  <conditionalFormatting sqref="Q10">
    <cfRule type="expression" dxfId="1380" priority="4093" stopIfTrue="1">
      <formula>AND(Q10&lt;&gt;"", D9 - Q10 &lt;= 1)</formula>
    </cfRule>
  </conditionalFormatting>
  <conditionalFormatting sqref="R10">
    <cfRule type="expression" dxfId="1379" priority="4094" stopIfTrue="1">
      <formula>AND(R10&lt;&gt;"", D9 - R10 &lt;= 14, D9 - R10 &gt; 7)</formula>
    </cfRule>
  </conditionalFormatting>
  <conditionalFormatting sqref="R10">
    <cfRule type="expression" dxfId="1378" priority="4095" stopIfTrue="1">
      <formula>AND(R10&lt;&gt;"", D9 - R10 &lt;= 7, D9 - R10 &gt; 1)</formula>
    </cfRule>
  </conditionalFormatting>
  <conditionalFormatting sqref="R10">
    <cfRule type="expression" dxfId="1377" priority="4096" stopIfTrue="1">
      <formula>AND(R10&lt;&gt;"", D9 - R10 &lt;= 1)</formula>
    </cfRule>
  </conditionalFormatting>
  <conditionalFormatting sqref="S10">
    <cfRule type="expression" dxfId="1376" priority="4097" stopIfTrue="1">
      <formula>AND(S10&lt;&gt;"", D9 - S10 &lt;= 14, D9 - S10 &gt; 7)</formula>
    </cfRule>
  </conditionalFormatting>
  <conditionalFormatting sqref="S10">
    <cfRule type="expression" dxfId="1375" priority="4098" stopIfTrue="1">
      <formula>AND(S10&lt;&gt;"", D9 - S10 &lt;= 7, D9 - S10 &gt; 1)</formula>
    </cfRule>
  </conditionalFormatting>
  <conditionalFormatting sqref="S10">
    <cfRule type="expression" dxfId="1374" priority="4099" stopIfTrue="1">
      <formula>AND(S10&lt;&gt;"", D9 - S10 &lt;= 1)</formula>
    </cfRule>
  </conditionalFormatting>
  <conditionalFormatting sqref="T10">
    <cfRule type="expression" dxfId="1373" priority="4100" stopIfTrue="1">
      <formula>AND(T10&lt;&gt;"", D9 - T10 &lt;= 14, D9 - T10 &gt; 7)</formula>
    </cfRule>
  </conditionalFormatting>
  <conditionalFormatting sqref="T10">
    <cfRule type="expression" dxfId="1372" priority="4101" stopIfTrue="1">
      <formula>AND(T10&lt;&gt;"", D9 - T10 &lt;= 7, D9 - T10 &gt; 1)</formula>
    </cfRule>
  </conditionalFormatting>
  <conditionalFormatting sqref="T10">
    <cfRule type="expression" dxfId="1371" priority="4102" stopIfTrue="1">
      <formula>AND(T10&lt;&gt;"", D9 - T10 &lt;= 1)</formula>
    </cfRule>
  </conditionalFormatting>
  <conditionalFormatting sqref="U10">
    <cfRule type="expression" dxfId="1370" priority="4103" stopIfTrue="1">
      <formula>AND(U10&lt;&gt;"", D9 - U10 &lt;= 14, D9 - U10 &gt; 7)</formula>
    </cfRule>
  </conditionalFormatting>
  <conditionalFormatting sqref="U10">
    <cfRule type="expression" dxfId="1369" priority="4104" stopIfTrue="1">
      <formula>AND(U10&lt;&gt;"", D9 - U10 &lt;= 7, D9 - U10 &gt; 1)</formula>
    </cfRule>
  </conditionalFormatting>
  <conditionalFormatting sqref="U10">
    <cfRule type="expression" dxfId="1368" priority="4105" stopIfTrue="1">
      <formula>AND(U10&lt;&gt;"", D9 - U10 &lt;= 1)</formula>
    </cfRule>
  </conditionalFormatting>
  <conditionalFormatting sqref="J2">
    <cfRule type="expression" dxfId="383" priority="15242" stopIfTrue="1">
      <formula>AND(J2&lt;&gt;"", J2 - A2 &gt; 14)</formula>
    </cfRule>
  </conditionalFormatting>
  <conditionalFormatting sqref="J2">
    <cfRule type="expression" dxfId="382" priority="15243" stopIfTrue="1">
      <formula>AND(J2&lt;&gt;"", J2 - A2 &lt;= 14, J2 - A2 &gt; 7)</formula>
    </cfRule>
  </conditionalFormatting>
  <conditionalFormatting sqref="J2">
    <cfRule type="expression" dxfId="381" priority="15244" stopIfTrue="1">
      <formula>AND(J2&lt;&gt;"", J2 - A2 &lt;= 7, J2 - A2 &gt; 2)</formula>
    </cfRule>
  </conditionalFormatting>
  <conditionalFormatting sqref="J2">
    <cfRule type="expression" dxfId="380" priority="15245" stopIfTrue="1">
      <formula>AND(J2&lt;&gt;"", J2 - A2 &lt;= 2)</formula>
    </cfRule>
  </conditionalFormatting>
  <conditionalFormatting sqref="K2">
    <cfRule type="expression" dxfId="379" priority="15246" stopIfTrue="1">
      <formula>AND(K2&lt;&gt;"", K2 - A2 &gt; 14)</formula>
    </cfRule>
  </conditionalFormatting>
  <conditionalFormatting sqref="K2">
    <cfRule type="expression" dxfId="378" priority="15247" stopIfTrue="1">
      <formula>AND(K2&lt;&gt;"", K2 - A2 &lt;= 14, K2 - A2 &gt; 7)</formula>
    </cfRule>
  </conditionalFormatting>
  <conditionalFormatting sqref="K2">
    <cfRule type="expression" dxfId="377" priority="15248" stopIfTrue="1">
      <formula>AND(K2&lt;&gt;"", K2 - A2 &lt;= 7, K2 - A2 &gt; 2)</formula>
    </cfRule>
  </conditionalFormatting>
  <conditionalFormatting sqref="K2">
    <cfRule type="expression" dxfId="376" priority="15249" stopIfTrue="1">
      <formula>AND(K2&lt;&gt;"", K2 - A2 &lt;= 2)</formula>
    </cfRule>
  </conditionalFormatting>
  <conditionalFormatting sqref="L2">
    <cfRule type="expression" dxfId="375" priority="15250" stopIfTrue="1">
      <formula>AND(L2&lt;&gt;"", L2 - A2 &gt; 14)</formula>
    </cfRule>
  </conditionalFormatting>
  <conditionalFormatting sqref="L2">
    <cfRule type="expression" dxfId="374" priority="15251" stopIfTrue="1">
      <formula>AND(L2&lt;&gt;"", L2 - A2 &lt;= 14, L2 - A2 &gt; 7)</formula>
    </cfRule>
  </conditionalFormatting>
  <conditionalFormatting sqref="L2">
    <cfRule type="expression" dxfId="373" priority="15252" stopIfTrue="1">
      <formula>AND(L2&lt;&gt;"", L2 - A2 &lt;= 7, L2 - A2 &gt; 2)</formula>
    </cfRule>
  </conditionalFormatting>
  <conditionalFormatting sqref="L2">
    <cfRule type="expression" dxfId="372" priority="15253" stopIfTrue="1">
      <formula>AND(L2&lt;&gt;"", L2 - A2 &lt;= 2)</formula>
    </cfRule>
  </conditionalFormatting>
  <conditionalFormatting sqref="M2">
    <cfRule type="expression" dxfId="371" priority="15254" stopIfTrue="1">
      <formula>AND(M2&lt;&gt;"", M2 - A2 &gt; 14)</formula>
    </cfRule>
  </conditionalFormatting>
  <conditionalFormatting sqref="M2">
    <cfRule type="expression" dxfId="370" priority="15255" stopIfTrue="1">
      <formula>AND(M2&lt;&gt;"", M2 - A2 &lt;= 14, M2 - A2 &gt; 7)</formula>
    </cfRule>
  </conditionalFormatting>
  <conditionalFormatting sqref="M2">
    <cfRule type="expression" dxfId="369" priority="15256" stopIfTrue="1">
      <formula>AND(M2&lt;&gt;"", M2 - A2 &lt;= 7, M2 - A2 &gt; 2)</formula>
    </cfRule>
  </conditionalFormatting>
  <conditionalFormatting sqref="M2">
    <cfRule type="expression" dxfId="368" priority="15257" stopIfTrue="1">
      <formula>AND(M2&lt;&gt;"", M2 - A2 &lt;= 2)</formula>
    </cfRule>
  </conditionalFormatting>
  <conditionalFormatting sqref="N2">
    <cfRule type="expression" dxfId="367" priority="15258" stopIfTrue="1">
      <formula>AND(N2&lt;&gt;"", N2 - A2 &gt; 14)</formula>
    </cfRule>
  </conditionalFormatting>
  <conditionalFormatting sqref="N2">
    <cfRule type="expression" dxfId="366" priority="15259" stopIfTrue="1">
      <formula>AND(N2&lt;&gt;"", N2 - A2 &lt;= 14, N2 - A2 &gt; 7)</formula>
    </cfRule>
  </conditionalFormatting>
  <conditionalFormatting sqref="N2">
    <cfRule type="expression" dxfId="365" priority="15260" stopIfTrue="1">
      <formula>AND(N2&lt;&gt;"", N2 - A2 &lt;= 7, N2 - A2 &gt; 2)</formula>
    </cfRule>
  </conditionalFormatting>
  <conditionalFormatting sqref="N2">
    <cfRule type="expression" dxfId="364" priority="15261" stopIfTrue="1">
      <formula>AND(N2&lt;&gt;"", N2 - A2 &lt;= 2)</formula>
    </cfRule>
  </conditionalFormatting>
  <conditionalFormatting sqref="O2">
    <cfRule type="expression" dxfId="363" priority="15262" stopIfTrue="1">
      <formula>AND(O2&lt;&gt;"", O2 - A2 &gt; 14)</formula>
    </cfRule>
  </conditionalFormatting>
  <conditionalFormatting sqref="O2">
    <cfRule type="expression" dxfId="362" priority="15263" stopIfTrue="1">
      <formula>AND(O2&lt;&gt;"", O2 - A2 &lt;= 14, O2 - A2 &gt; 7)</formula>
    </cfRule>
  </conditionalFormatting>
  <conditionalFormatting sqref="O2">
    <cfRule type="expression" dxfId="361" priority="15264" stopIfTrue="1">
      <formula>AND(O2&lt;&gt;"", O2 - A2 &lt;= 7, O2 - A2 &gt; 2)</formula>
    </cfRule>
  </conditionalFormatting>
  <conditionalFormatting sqref="O2">
    <cfRule type="expression" dxfId="360" priority="15265" stopIfTrue="1">
      <formula>AND(O2&lt;&gt;"", O2 - A2 &lt;= 2)</formula>
    </cfRule>
  </conditionalFormatting>
  <conditionalFormatting sqref="P2">
    <cfRule type="expression" dxfId="359" priority="15266" stopIfTrue="1">
      <formula>AND(P2&lt;&gt;"", P2 - A2 &gt; 14)</formula>
    </cfRule>
  </conditionalFormatting>
  <conditionalFormatting sqref="P2">
    <cfRule type="expression" dxfId="358" priority="15267" stopIfTrue="1">
      <formula>AND(P2&lt;&gt;"", P2 - A2 &lt;= 14, P2 - A2 &gt; 7)</formula>
    </cfRule>
  </conditionalFormatting>
  <conditionalFormatting sqref="P2">
    <cfRule type="expression" dxfId="357" priority="15268" stopIfTrue="1">
      <formula>AND(P2&lt;&gt;"", P2 - A2 &lt;= 7, P2 - A2 &gt; 2)</formula>
    </cfRule>
  </conditionalFormatting>
  <conditionalFormatting sqref="P2">
    <cfRule type="expression" dxfId="356" priority="15269" stopIfTrue="1">
      <formula>AND(P2&lt;&gt;"", P2 - A2 &lt;= 2)</formula>
    </cfRule>
  </conditionalFormatting>
  <conditionalFormatting sqref="Q2">
    <cfRule type="expression" dxfId="355" priority="15270" stopIfTrue="1">
      <formula>AND(Q2&lt;&gt;"", Q2 - A2 &gt; 14)</formula>
    </cfRule>
  </conditionalFormatting>
  <conditionalFormatting sqref="Q2">
    <cfRule type="expression" dxfId="354" priority="15271" stopIfTrue="1">
      <formula>AND(Q2&lt;&gt;"", Q2 - A2 &lt;= 14, Q2 - A2 &gt; 7)</formula>
    </cfRule>
  </conditionalFormatting>
  <conditionalFormatting sqref="Q2">
    <cfRule type="expression" dxfId="353" priority="15272" stopIfTrue="1">
      <formula>AND(Q2&lt;&gt;"", Q2 - A2 &lt;= 7, Q2 - A2 &gt; 2)</formula>
    </cfRule>
  </conditionalFormatting>
  <conditionalFormatting sqref="Q2">
    <cfRule type="expression" dxfId="352" priority="15273" stopIfTrue="1">
      <formula>AND(Q2&lt;&gt;"", Q2 - A2 &lt;= 2)</formula>
    </cfRule>
  </conditionalFormatting>
  <conditionalFormatting sqref="R2">
    <cfRule type="expression" dxfId="351" priority="15274" stopIfTrue="1">
      <formula>AND(R2&lt;&gt;"", R2 - A2 &gt; 14)</formula>
    </cfRule>
  </conditionalFormatting>
  <conditionalFormatting sqref="R2">
    <cfRule type="expression" dxfId="350" priority="15275" stopIfTrue="1">
      <formula>AND(R2&lt;&gt;"", R2 - A2 &lt;= 14, R2 - A2 &gt; 7)</formula>
    </cfRule>
  </conditionalFormatting>
  <conditionalFormatting sqref="R2">
    <cfRule type="expression" dxfId="349" priority="15276" stopIfTrue="1">
      <formula>AND(R2&lt;&gt;"", R2 - A2 &lt;= 7, R2 - A2 &gt; 2)</formula>
    </cfRule>
  </conditionalFormatting>
  <conditionalFormatting sqref="R2">
    <cfRule type="expression" dxfId="348" priority="15277" stopIfTrue="1">
      <formula>AND(R2&lt;&gt;"", R2 - A2 &lt;= 2)</formula>
    </cfRule>
  </conditionalFormatting>
  <conditionalFormatting sqref="S2">
    <cfRule type="expression" dxfId="347" priority="15278" stopIfTrue="1">
      <formula>AND(S2&lt;&gt;"", S2 - A2 &gt; 14)</formula>
    </cfRule>
  </conditionalFormatting>
  <conditionalFormatting sqref="S2">
    <cfRule type="expression" dxfId="346" priority="15279" stopIfTrue="1">
      <formula>AND(S2&lt;&gt;"", S2 - A2 &lt;= 14, S2 - A2 &gt; 7)</formula>
    </cfRule>
  </conditionalFormatting>
  <conditionalFormatting sqref="S2">
    <cfRule type="expression" dxfId="345" priority="15280" stopIfTrue="1">
      <formula>AND(S2&lt;&gt;"", S2 - A2 &lt;= 7, S2 - A2 &gt; 2)</formula>
    </cfRule>
  </conditionalFormatting>
  <conditionalFormatting sqref="S2">
    <cfRule type="expression" dxfId="344" priority="15281" stopIfTrue="1">
      <formula>AND(S2&lt;&gt;"", S2 - A2 &lt;= 2)</formula>
    </cfRule>
  </conditionalFormatting>
  <conditionalFormatting sqref="T2">
    <cfRule type="expression" dxfId="343" priority="15282" stopIfTrue="1">
      <formula>AND(T2&lt;&gt;"", T2 - A2 &gt; 14)</formula>
    </cfRule>
  </conditionalFormatting>
  <conditionalFormatting sqref="T2">
    <cfRule type="expression" dxfId="342" priority="15283" stopIfTrue="1">
      <formula>AND(T2&lt;&gt;"", T2 - A2 &lt;= 14, T2 - A2 &gt; 7)</formula>
    </cfRule>
  </conditionalFormatting>
  <conditionalFormatting sqref="T2">
    <cfRule type="expression" dxfId="341" priority="15284" stopIfTrue="1">
      <formula>AND(T2&lt;&gt;"", T2 - A2 &lt;= 7, T2 - A2 &gt; 2)</formula>
    </cfRule>
  </conditionalFormatting>
  <conditionalFormatting sqref="T2">
    <cfRule type="expression" dxfId="340" priority="15285" stopIfTrue="1">
      <formula>AND(T2&lt;&gt;"", T2 - A2 &lt;= 2)</formula>
    </cfRule>
  </conditionalFormatting>
  <conditionalFormatting sqref="U2">
    <cfRule type="expression" dxfId="339" priority="15286" stopIfTrue="1">
      <formula>AND(U2&lt;&gt;"", U2 - A2 &gt; 14)</formula>
    </cfRule>
  </conditionalFormatting>
  <conditionalFormatting sqref="U2">
    <cfRule type="expression" dxfId="338" priority="15287" stopIfTrue="1">
      <formula>AND(U2&lt;&gt;"", U2 - A2 &lt;= 14, U2 - A2 &gt; 7)</formula>
    </cfRule>
  </conditionalFormatting>
  <conditionalFormatting sqref="U2">
    <cfRule type="expression" dxfId="337" priority="15288" stopIfTrue="1">
      <formula>AND(U2&lt;&gt;"", U2 - A2 &lt;= 7, U2 - A2 &gt; 2)</formula>
    </cfRule>
  </conditionalFormatting>
  <conditionalFormatting sqref="U2">
    <cfRule type="expression" dxfId="336" priority="15289" stopIfTrue="1">
      <formula>AND(U2&lt;&gt;"", U2 - A2 &lt;= 2)</formula>
    </cfRule>
  </conditionalFormatting>
  <conditionalFormatting sqref="J3">
    <cfRule type="expression" dxfId="335" priority="15290" stopIfTrue="1">
      <formula>AND(J3&lt;&gt;"", J3 - A2 &gt; 14)</formula>
    </cfRule>
  </conditionalFormatting>
  <conditionalFormatting sqref="J3">
    <cfRule type="expression" dxfId="334" priority="15291" stopIfTrue="1">
      <formula>AND(J3&lt;&gt;"", J3 - A2 &lt;= 14, J3 - A2 &gt; 7)</formula>
    </cfRule>
  </conditionalFormatting>
  <conditionalFormatting sqref="J3">
    <cfRule type="expression" dxfId="333" priority="15292" stopIfTrue="1">
      <formula>AND(J3&lt;&gt;"", J3 - A2 &lt;= 7, J3 - A2 &gt; 2)</formula>
    </cfRule>
  </conditionalFormatting>
  <conditionalFormatting sqref="J3">
    <cfRule type="expression" dxfId="332" priority="15293" stopIfTrue="1">
      <formula>AND(J3&lt;&gt;"", J3 - A2 &lt;= 2)</formula>
    </cfRule>
  </conditionalFormatting>
  <conditionalFormatting sqref="K3">
    <cfRule type="expression" dxfId="331" priority="15294" stopIfTrue="1">
      <formula>AND(K3&lt;&gt;"", K3 - A2 &gt; 14)</formula>
    </cfRule>
  </conditionalFormatting>
  <conditionalFormatting sqref="K3">
    <cfRule type="expression" dxfId="330" priority="15295" stopIfTrue="1">
      <formula>AND(K3&lt;&gt;"", K3 - A2 &lt;= 14, K3 - A2 &gt; 7)</formula>
    </cfRule>
  </conditionalFormatting>
  <conditionalFormatting sqref="K3">
    <cfRule type="expression" dxfId="329" priority="15296" stopIfTrue="1">
      <formula>AND(K3&lt;&gt;"", K3 - A2 &lt;= 7, K3 - A2 &gt; 2)</formula>
    </cfRule>
  </conditionalFormatting>
  <conditionalFormatting sqref="K3">
    <cfRule type="expression" dxfId="328" priority="15297" stopIfTrue="1">
      <formula>AND(K3&lt;&gt;"", K3 - A2 &lt;= 2)</formula>
    </cfRule>
  </conditionalFormatting>
  <conditionalFormatting sqref="L3">
    <cfRule type="expression" dxfId="327" priority="15298" stopIfTrue="1">
      <formula>AND(L3&lt;&gt;"", L3 - A2 &gt; 14)</formula>
    </cfRule>
  </conditionalFormatting>
  <conditionalFormatting sqref="L3">
    <cfRule type="expression" dxfId="326" priority="15299" stopIfTrue="1">
      <formula>AND(L3&lt;&gt;"", L3 - A2 &lt;= 14, L3 - A2 &gt; 7)</formula>
    </cfRule>
  </conditionalFormatting>
  <conditionalFormatting sqref="L3">
    <cfRule type="expression" dxfId="325" priority="15300" stopIfTrue="1">
      <formula>AND(L3&lt;&gt;"", L3 - A2 &lt;= 7, L3 - A2 &gt; 2)</formula>
    </cfRule>
  </conditionalFormatting>
  <conditionalFormatting sqref="L3">
    <cfRule type="expression" dxfId="324" priority="15301" stopIfTrue="1">
      <formula>AND(L3&lt;&gt;"", L3 - A2 &lt;= 2)</formula>
    </cfRule>
  </conditionalFormatting>
  <conditionalFormatting sqref="M3">
    <cfRule type="expression" dxfId="323" priority="15302" stopIfTrue="1">
      <formula>AND(M3&lt;&gt;"", M3 - A2 &gt; 14)</formula>
    </cfRule>
  </conditionalFormatting>
  <conditionalFormatting sqref="M3">
    <cfRule type="expression" dxfId="322" priority="15303" stopIfTrue="1">
      <formula>AND(M3&lt;&gt;"", M3 - A2 &lt;= 14, M3 - A2 &gt; 7)</formula>
    </cfRule>
  </conditionalFormatting>
  <conditionalFormatting sqref="M3">
    <cfRule type="expression" dxfId="321" priority="15304" stopIfTrue="1">
      <formula>AND(M3&lt;&gt;"", M3 - A2 &lt;= 7, M3 - A2 &gt; 2)</formula>
    </cfRule>
  </conditionalFormatting>
  <conditionalFormatting sqref="M3">
    <cfRule type="expression" dxfId="320" priority="15305" stopIfTrue="1">
      <formula>AND(M3&lt;&gt;"", M3 - A2 &lt;= 2)</formula>
    </cfRule>
  </conditionalFormatting>
  <conditionalFormatting sqref="N3">
    <cfRule type="expression" dxfId="319" priority="15306" stopIfTrue="1">
      <formula>AND(N3&lt;&gt;"", N3 - A2 &gt; 14)</formula>
    </cfRule>
  </conditionalFormatting>
  <conditionalFormatting sqref="N3">
    <cfRule type="expression" dxfId="318" priority="15307" stopIfTrue="1">
      <formula>AND(N3&lt;&gt;"", N3 - A2 &lt;= 14, N3 - A2 &gt; 7)</formula>
    </cfRule>
  </conditionalFormatting>
  <conditionalFormatting sqref="N3">
    <cfRule type="expression" dxfId="317" priority="15308" stopIfTrue="1">
      <formula>AND(N3&lt;&gt;"", N3 - A2 &lt;= 7, N3 - A2 &gt; 2)</formula>
    </cfRule>
  </conditionalFormatting>
  <conditionalFormatting sqref="N3">
    <cfRule type="expression" dxfId="316" priority="15309" stopIfTrue="1">
      <formula>AND(N3&lt;&gt;"", N3 - A2 &lt;= 2)</formula>
    </cfRule>
  </conditionalFormatting>
  <conditionalFormatting sqref="O3">
    <cfRule type="expression" dxfId="315" priority="15310" stopIfTrue="1">
      <formula>AND(O3&lt;&gt;"", O3 - A2 &gt; 14)</formula>
    </cfRule>
  </conditionalFormatting>
  <conditionalFormatting sqref="O3">
    <cfRule type="expression" dxfId="314" priority="15311" stopIfTrue="1">
      <formula>AND(O3&lt;&gt;"", O3 - A2 &lt;= 14, O3 - A2 &gt; 7)</formula>
    </cfRule>
  </conditionalFormatting>
  <conditionalFormatting sqref="O3">
    <cfRule type="expression" dxfId="313" priority="15312" stopIfTrue="1">
      <formula>AND(O3&lt;&gt;"", O3 - A2 &lt;= 7, O3 - A2 &gt; 2)</formula>
    </cfRule>
  </conditionalFormatting>
  <conditionalFormatting sqref="O3">
    <cfRule type="expression" dxfId="312" priority="15313" stopIfTrue="1">
      <formula>AND(O3&lt;&gt;"", O3 - A2 &lt;= 2)</formula>
    </cfRule>
  </conditionalFormatting>
  <conditionalFormatting sqref="P3">
    <cfRule type="expression" dxfId="311" priority="15314" stopIfTrue="1">
      <formula>AND(P3&lt;&gt;"", P3 - A2 &gt; 14)</formula>
    </cfRule>
  </conditionalFormatting>
  <conditionalFormatting sqref="P3">
    <cfRule type="expression" dxfId="310" priority="15315" stopIfTrue="1">
      <formula>AND(P3&lt;&gt;"", P3 - A2 &lt;= 14, P3 - A2 &gt; 7)</formula>
    </cfRule>
  </conditionalFormatting>
  <conditionalFormatting sqref="P3">
    <cfRule type="expression" dxfId="309" priority="15316" stopIfTrue="1">
      <formula>AND(P3&lt;&gt;"", P3 - A2 &lt;= 7, P3 - A2 &gt; 2)</formula>
    </cfRule>
  </conditionalFormatting>
  <conditionalFormatting sqref="P3">
    <cfRule type="expression" dxfId="308" priority="15317" stopIfTrue="1">
      <formula>AND(P3&lt;&gt;"", P3 - A2 &lt;= 2)</formula>
    </cfRule>
  </conditionalFormatting>
  <conditionalFormatting sqref="Q3">
    <cfRule type="expression" dxfId="307" priority="15318" stopIfTrue="1">
      <formula>AND(Q3&lt;&gt;"", Q3 - A2 &gt; 14)</formula>
    </cfRule>
  </conditionalFormatting>
  <conditionalFormatting sqref="Q3">
    <cfRule type="expression" dxfId="306" priority="15319" stopIfTrue="1">
      <formula>AND(Q3&lt;&gt;"", Q3 - A2 &lt;= 14, Q3 - A2 &gt; 7)</formula>
    </cfRule>
  </conditionalFormatting>
  <conditionalFormatting sqref="Q3">
    <cfRule type="expression" dxfId="305" priority="15320" stopIfTrue="1">
      <formula>AND(Q3&lt;&gt;"", Q3 - A2 &lt;= 7, Q3 - A2 &gt; 2)</formula>
    </cfRule>
  </conditionalFormatting>
  <conditionalFormatting sqref="Q3">
    <cfRule type="expression" dxfId="304" priority="15321" stopIfTrue="1">
      <formula>AND(Q3&lt;&gt;"", Q3 - A2 &lt;= 2)</formula>
    </cfRule>
  </conditionalFormatting>
  <conditionalFormatting sqref="R3">
    <cfRule type="expression" dxfId="303" priority="15322" stopIfTrue="1">
      <formula>AND(R3&lt;&gt;"", R3 - A2 &gt; 14)</formula>
    </cfRule>
  </conditionalFormatting>
  <conditionalFormatting sqref="R3">
    <cfRule type="expression" dxfId="302" priority="15323" stopIfTrue="1">
      <formula>AND(R3&lt;&gt;"", R3 - A2 &lt;= 14, R3 - A2 &gt; 7)</formula>
    </cfRule>
  </conditionalFormatting>
  <conditionalFormatting sqref="R3">
    <cfRule type="expression" dxfId="301" priority="15324" stopIfTrue="1">
      <formula>AND(R3&lt;&gt;"", R3 - A2 &lt;= 7, R3 - A2 &gt; 2)</formula>
    </cfRule>
  </conditionalFormatting>
  <conditionalFormatting sqref="R3">
    <cfRule type="expression" dxfId="300" priority="15325" stopIfTrue="1">
      <formula>AND(R3&lt;&gt;"", R3 - A2 &lt;= 2)</formula>
    </cfRule>
  </conditionalFormatting>
  <conditionalFormatting sqref="S3">
    <cfRule type="expression" dxfId="299" priority="15326" stopIfTrue="1">
      <formula>AND(S3&lt;&gt;"", S3 - A2 &gt; 14)</formula>
    </cfRule>
  </conditionalFormatting>
  <conditionalFormatting sqref="S3">
    <cfRule type="expression" dxfId="298" priority="15327" stopIfTrue="1">
      <formula>AND(S3&lt;&gt;"", S3 - A2 &lt;= 14, S3 - A2 &gt; 7)</formula>
    </cfRule>
  </conditionalFormatting>
  <conditionalFormatting sqref="S3">
    <cfRule type="expression" dxfId="297" priority="15328" stopIfTrue="1">
      <formula>AND(S3&lt;&gt;"", S3 - A2 &lt;= 7, S3 - A2 &gt; 2)</formula>
    </cfRule>
  </conditionalFormatting>
  <conditionalFormatting sqref="S3">
    <cfRule type="expression" dxfId="296" priority="15329" stopIfTrue="1">
      <formula>AND(S3&lt;&gt;"", S3 - A2 &lt;= 2)</formula>
    </cfRule>
  </conditionalFormatting>
  <conditionalFormatting sqref="T3">
    <cfRule type="expression" dxfId="295" priority="15330" stopIfTrue="1">
      <formula>AND(T3&lt;&gt;"", T3 - A2 &gt; 14)</formula>
    </cfRule>
  </conditionalFormatting>
  <conditionalFormatting sqref="T3">
    <cfRule type="expression" dxfId="294" priority="15331" stopIfTrue="1">
      <formula>AND(T3&lt;&gt;"", T3 - A2 &lt;= 14, T3 - A2 &gt; 7)</formula>
    </cfRule>
  </conditionalFormatting>
  <conditionalFormatting sqref="T3">
    <cfRule type="expression" dxfId="293" priority="15332" stopIfTrue="1">
      <formula>AND(T3&lt;&gt;"", T3 - A2 &lt;= 7, T3 - A2 &gt; 2)</formula>
    </cfRule>
  </conditionalFormatting>
  <conditionalFormatting sqref="T3">
    <cfRule type="expression" dxfId="292" priority="15333" stopIfTrue="1">
      <formula>AND(T3&lt;&gt;"", T3 - A2 &lt;= 2)</formula>
    </cfRule>
  </conditionalFormatting>
  <conditionalFormatting sqref="U3">
    <cfRule type="expression" dxfId="291" priority="15334" stopIfTrue="1">
      <formula>AND(U3&lt;&gt;"", U3 - A2 &gt; 14)</formula>
    </cfRule>
  </conditionalFormatting>
  <conditionalFormatting sqref="U3">
    <cfRule type="expression" dxfId="290" priority="15335" stopIfTrue="1">
      <formula>AND(U3&lt;&gt;"", U3 - A2 &lt;= 14, U3 - A2 &gt; 7)</formula>
    </cfRule>
  </conditionalFormatting>
  <conditionalFormatting sqref="U3">
    <cfRule type="expression" dxfId="289" priority="15336" stopIfTrue="1">
      <formula>AND(U3&lt;&gt;"", U3 - A2 &lt;= 7, U3 - A2 &gt; 2)</formula>
    </cfRule>
  </conditionalFormatting>
  <conditionalFormatting sqref="U3">
    <cfRule type="expression" dxfId="288" priority="15337" stopIfTrue="1">
      <formula>AND(U3&lt;&gt;"", U3 - A2 &lt;= 2)</formula>
    </cfRule>
  </conditionalFormatting>
  <conditionalFormatting sqref="J4">
    <cfRule type="expression" dxfId="287" priority="15338" stopIfTrue="1">
      <formula>AND(J4&lt;&gt;"", J4 - A2 &gt; 14)</formula>
    </cfRule>
  </conditionalFormatting>
  <conditionalFormatting sqref="J4">
    <cfRule type="expression" dxfId="286" priority="15339" stopIfTrue="1">
      <formula>AND(J4&lt;&gt;"", J4 - A2 &lt;= 14, J4 - A2 &gt; 7)</formula>
    </cfRule>
  </conditionalFormatting>
  <conditionalFormatting sqref="J4">
    <cfRule type="expression" dxfId="285" priority="15340" stopIfTrue="1">
      <formula>AND(J4&lt;&gt;"", J4 - A2 &lt;= 7, J4 - A2 &gt; 2)</formula>
    </cfRule>
  </conditionalFormatting>
  <conditionalFormatting sqref="J4">
    <cfRule type="expression" dxfId="284" priority="15341" stopIfTrue="1">
      <formula>AND(J4&lt;&gt;"", J4 - A2 &lt;= 2)</formula>
    </cfRule>
  </conditionalFormatting>
  <conditionalFormatting sqref="K4">
    <cfRule type="expression" dxfId="283" priority="15342" stopIfTrue="1">
      <formula>AND(K4&lt;&gt;"", K4 - A2 &gt; 14)</formula>
    </cfRule>
  </conditionalFormatting>
  <conditionalFormatting sqref="K4">
    <cfRule type="expression" dxfId="282" priority="15343" stopIfTrue="1">
      <formula>AND(K4&lt;&gt;"", K4 - A2 &lt;= 14, K4 - A2 &gt; 7)</formula>
    </cfRule>
  </conditionalFormatting>
  <conditionalFormatting sqref="K4">
    <cfRule type="expression" dxfId="281" priority="15344" stopIfTrue="1">
      <formula>AND(K4&lt;&gt;"", K4 - A2 &lt;= 7, K4 - A2 &gt; 2)</formula>
    </cfRule>
  </conditionalFormatting>
  <conditionalFormatting sqref="K4">
    <cfRule type="expression" dxfId="280" priority="15345" stopIfTrue="1">
      <formula>AND(K4&lt;&gt;"", K4 - A2 &lt;= 2)</formula>
    </cfRule>
  </conditionalFormatting>
  <conditionalFormatting sqref="L4">
    <cfRule type="expression" dxfId="279" priority="15346" stopIfTrue="1">
      <formula>AND(L4&lt;&gt;"", L4 - A2 &gt; 14)</formula>
    </cfRule>
  </conditionalFormatting>
  <conditionalFormatting sqref="L4">
    <cfRule type="expression" dxfId="278" priority="15347" stopIfTrue="1">
      <formula>AND(L4&lt;&gt;"", L4 - A2 &lt;= 14, L4 - A2 &gt; 7)</formula>
    </cfRule>
  </conditionalFormatting>
  <conditionalFormatting sqref="L4">
    <cfRule type="expression" dxfId="277" priority="15348" stopIfTrue="1">
      <formula>AND(L4&lt;&gt;"", L4 - A2 &lt;= 7, L4 - A2 &gt; 2)</formula>
    </cfRule>
  </conditionalFormatting>
  <conditionalFormatting sqref="L4">
    <cfRule type="expression" dxfId="276" priority="15349" stopIfTrue="1">
      <formula>AND(L4&lt;&gt;"", L4 - A2 &lt;= 2)</formula>
    </cfRule>
  </conditionalFormatting>
  <conditionalFormatting sqref="M4">
    <cfRule type="expression" dxfId="275" priority="15350" stopIfTrue="1">
      <formula>AND(M4&lt;&gt;"", M4 - A2 &gt; 14)</formula>
    </cfRule>
  </conditionalFormatting>
  <conditionalFormatting sqref="M4">
    <cfRule type="expression" dxfId="274" priority="15351" stopIfTrue="1">
      <formula>AND(M4&lt;&gt;"", M4 - A2 &lt;= 14, M4 - A2 &gt; 7)</formula>
    </cfRule>
  </conditionalFormatting>
  <conditionalFormatting sqref="M4">
    <cfRule type="expression" dxfId="273" priority="15352" stopIfTrue="1">
      <formula>AND(M4&lt;&gt;"", M4 - A2 &lt;= 7, M4 - A2 &gt; 2)</formula>
    </cfRule>
  </conditionalFormatting>
  <conditionalFormatting sqref="M4">
    <cfRule type="expression" dxfId="272" priority="15353" stopIfTrue="1">
      <formula>AND(M4&lt;&gt;"", M4 - A2 &lt;= 2)</formula>
    </cfRule>
  </conditionalFormatting>
  <conditionalFormatting sqref="N4">
    <cfRule type="expression" dxfId="271" priority="15354" stopIfTrue="1">
      <formula>AND(N4&lt;&gt;"", N4 - A2 &gt; 14)</formula>
    </cfRule>
  </conditionalFormatting>
  <conditionalFormatting sqref="N4">
    <cfRule type="expression" dxfId="270" priority="15355" stopIfTrue="1">
      <formula>AND(N4&lt;&gt;"", N4 - A2 &lt;= 14, N4 - A2 &gt; 7)</formula>
    </cfRule>
  </conditionalFormatting>
  <conditionalFormatting sqref="N4">
    <cfRule type="expression" dxfId="269" priority="15356" stopIfTrue="1">
      <formula>AND(N4&lt;&gt;"", N4 - A2 &lt;= 7, N4 - A2 &gt; 2)</formula>
    </cfRule>
  </conditionalFormatting>
  <conditionalFormatting sqref="N4">
    <cfRule type="expression" dxfId="268" priority="15357" stopIfTrue="1">
      <formula>AND(N4&lt;&gt;"", N4 - A2 &lt;= 2)</formula>
    </cfRule>
  </conditionalFormatting>
  <conditionalFormatting sqref="O4">
    <cfRule type="expression" dxfId="267" priority="15358" stopIfTrue="1">
      <formula>AND(O4&lt;&gt;"", O4 - A2 &gt; 14)</formula>
    </cfRule>
  </conditionalFormatting>
  <conditionalFormatting sqref="O4">
    <cfRule type="expression" dxfId="266" priority="15359" stopIfTrue="1">
      <formula>AND(O4&lt;&gt;"", O4 - A2 &lt;= 14, O4 - A2 &gt; 7)</formula>
    </cfRule>
  </conditionalFormatting>
  <conditionalFormatting sqref="O4">
    <cfRule type="expression" dxfId="265" priority="15360" stopIfTrue="1">
      <formula>AND(O4&lt;&gt;"", O4 - A2 &lt;= 7, O4 - A2 &gt; 2)</formula>
    </cfRule>
  </conditionalFormatting>
  <conditionalFormatting sqref="O4">
    <cfRule type="expression" dxfId="264" priority="15361" stopIfTrue="1">
      <formula>AND(O4&lt;&gt;"", O4 - A2 &lt;= 2)</formula>
    </cfRule>
  </conditionalFormatting>
  <conditionalFormatting sqref="P4">
    <cfRule type="expression" dxfId="263" priority="15362" stopIfTrue="1">
      <formula>AND(P4&lt;&gt;"", P4 - A2 &gt; 14)</formula>
    </cfRule>
  </conditionalFormatting>
  <conditionalFormatting sqref="P4">
    <cfRule type="expression" dxfId="262" priority="15363" stopIfTrue="1">
      <formula>AND(P4&lt;&gt;"", P4 - A2 &lt;= 14, P4 - A2 &gt; 7)</formula>
    </cfRule>
  </conditionalFormatting>
  <conditionalFormatting sqref="P4">
    <cfRule type="expression" dxfId="261" priority="15364" stopIfTrue="1">
      <formula>AND(P4&lt;&gt;"", P4 - A2 &lt;= 7, P4 - A2 &gt; 2)</formula>
    </cfRule>
  </conditionalFormatting>
  <conditionalFormatting sqref="P4">
    <cfRule type="expression" dxfId="260" priority="15365" stopIfTrue="1">
      <formula>AND(P4&lt;&gt;"", P4 - A2 &lt;= 2)</formula>
    </cfRule>
  </conditionalFormatting>
  <conditionalFormatting sqref="Q4">
    <cfRule type="expression" dxfId="259" priority="15366" stopIfTrue="1">
      <formula>AND(Q4&lt;&gt;"", Q4 - A2 &gt; 14)</formula>
    </cfRule>
  </conditionalFormatting>
  <conditionalFormatting sqref="Q4">
    <cfRule type="expression" dxfId="258" priority="15367" stopIfTrue="1">
      <formula>AND(Q4&lt;&gt;"", Q4 - A2 &lt;= 14, Q4 - A2 &gt; 7)</formula>
    </cfRule>
  </conditionalFormatting>
  <conditionalFormatting sqref="Q4">
    <cfRule type="expression" dxfId="257" priority="15368" stopIfTrue="1">
      <formula>AND(Q4&lt;&gt;"", Q4 - A2 &lt;= 7, Q4 - A2 &gt; 2)</formula>
    </cfRule>
  </conditionalFormatting>
  <conditionalFormatting sqref="Q4">
    <cfRule type="expression" dxfId="256" priority="15369" stopIfTrue="1">
      <formula>AND(Q4&lt;&gt;"", Q4 - A2 &lt;= 2)</formula>
    </cfRule>
  </conditionalFormatting>
  <conditionalFormatting sqref="R4">
    <cfRule type="expression" dxfId="255" priority="15370" stopIfTrue="1">
      <formula>AND(R4&lt;&gt;"", R4 - A2 &gt; 14)</formula>
    </cfRule>
  </conditionalFormatting>
  <conditionalFormatting sqref="R4">
    <cfRule type="expression" dxfId="254" priority="15371" stopIfTrue="1">
      <formula>AND(R4&lt;&gt;"", R4 - A2 &lt;= 14, R4 - A2 &gt; 7)</formula>
    </cfRule>
  </conditionalFormatting>
  <conditionalFormatting sqref="R4">
    <cfRule type="expression" dxfId="253" priority="15372" stopIfTrue="1">
      <formula>AND(R4&lt;&gt;"", R4 - A2 &lt;= 7, R4 - A2 &gt; 2)</formula>
    </cfRule>
  </conditionalFormatting>
  <conditionalFormatting sqref="R4">
    <cfRule type="expression" dxfId="252" priority="15373" stopIfTrue="1">
      <formula>AND(R4&lt;&gt;"", R4 - A2 &lt;= 2)</formula>
    </cfRule>
  </conditionalFormatting>
  <conditionalFormatting sqref="S4">
    <cfRule type="expression" dxfId="251" priority="15374" stopIfTrue="1">
      <formula>AND(S4&lt;&gt;"", S4 - A2 &gt; 14)</formula>
    </cfRule>
  </conditionalFormatting>
  <conditionalFormatting sqref="S4">
    <cfRule type="expression" dxfId="250" priority="15375" stopIfTrue="1">
      <formula>AND(S4&lt;&gt;"", S4 - A2 &lt;= 14, S4 - A2 &gt; 7)</formula>
    </cfRule>
  </conditionalFormatting>
  <conditionalFormatting sqref="S4">
    <cfRule type="expression" dxfId="249" priority="15376" stopIfTrue="1">
      <formula>AND(S4&lt;&gt;"", S4 - A2 &lt;= 7, S4 - A2 &gt; 2)</formula>
    </cfRule>
  </conditionalFormatting>
  <conditionalFormatting sqref="S4">
    <cfRule type="expression" dxfId="248" priority="15377" stopIfTrue="1">
      <formula>AND(S4&lt;&gt;"", S4 - A2 &lt;= 2)</formula>
    </cfRule>
  </conditionalFormatting>
  <conditionalFormatting sqref="T4">
    <cfRule type="expression" dxfId="247" priority="15378" stopIfTrue="1">
      <formula>AND(T4&lt;&gt;"", T4 - A2 &gt; 14)</formula>
    </cfRule>
  </conditionalFormatting>
  <conditionalFormatting sqref="T4">
    <cfRule type="expression" dxfId="246" priority="15379" stopIfTrue="1">
      <formula>AND(T4&lt;&gt;"", T4 - A2 &lt;= 14, T4 - A2 &gt; 7)</formula>
    </cfRule>
  </conditionalFormatting>
  <conditionalFormatting sqref="T4">
    <cfRule type="expression" dxfId="245" priority="15380" stopIfTrue="1">
      <formula>AND(T4&lt;&gt;"", T4 - A2 &lt;= 7, T4 - A2 &gt; 2)</formula>
    </cfRule>
  </conditionalFormatting>
  <conditionalFormatting sqref="T4">
    <cfRule type="expression" dxfId="244" priority="15381" stopIfTrue="1">
      <formula>AND(T4&lt;&gt;"", T4 - A2 &lt;= 2)</formula>
    </cfRule>
  </conditionalFormatting>
  <conditionalFormatting sqref="U4">
    <cfRule type="expression" dxfId="243" priority="15382" stopIfTrue="1">
      <formula>AND(U4&lt;&gt;"", U4 - A2 &gt; 14)</formula>
    </cfRule>
  </conditionalFormatting>
  <conditionalFormatting sqref="U4">
    <cfRule type="expression" dxfId="242" priority="15383" stopIfTrue="1">
      <formula>AND(U4&lt;&gt;"", U4 - A2 &lt;= 14, U4 - A2 &gt; 7)</formula>
    </cfRule>
  </conditionalFormatting>
  <conditionalFormatting sqref="U4">
    <cfRule type="expression" dxfId="241" priority="15384" stopIfTrue="1">
      <formula>AND(U4&lt;&gt;"", U4 - A2 &lt;= 7, U4 - A2 &gt; 2)</formula>
    </cfRule>
  </conditionalFormatting>
  <conditionalFormatting sqref="U4">
    <cfRule type="expression" dxfId="240" priority="15385" stopIfTrue="1">
      <formula>AND(U4&lt;&gt;"", U4 - A2 &lt;= 2)</formula>
    </cfRule>
  </conditionalFormatting>
  <conditionalFormatting sqref="J5">
    <cfRule type="expression" dxfId="239" priority="15386" stopIfTrue="1">
      <formula>AND(J5&lt;&gt;"", J5 - A2 &gt; 14)</formula>
    </cfRule>
    <cfRule type="expression" dxfId="238" priority="15387" stopIfTrue="1">
      <formula>AND(J5&lt;&gt;"", J5 - A2 &lt;= 14, J5 - A2 &gt; 7)</formula>
    </cfRule>
    <cfRule type="expression" dxfId="237" priority="15388" stopIfTrue="1">
      <formula>AND(J5&lt;&gt;"", J5 - A2 &lt;= 7, J5 - A2 &gt; 2)</formula>
    </cfRule>
    <cfRule type="expression" dxfId="236" priority="15389" stopIfTrue="1">
      <formula>AND(J5&lt;&gt;"", J5 - A2 &lt;= 2)</formula>
    </cfRule>
  </conditionalFormatting>
  <conditionalFormatting sqref="K5">
    <cfRule type="expression" dxfId="235" priority="15390" stopIfTrue="1">
      <formula>AND(K5&lt;&gt;"", K5 - A2 &gt; 14)</formula>
    </cfRule>
    <cfRule type="expression" dxfId="234" priority="15391" stopIfTrue="1">
      <formula>AND(K5&lt;&gt;"", K5 - A2 &lt;= 14, K5 - A2 &gt; 7)</formula>
    </cfRule>
    <cfRule type="expression" dxfId="233" priority="15392" stopIfTrue="1">
      <formula>AND(K5&lt;&gt;"", K5 - A2 &lt;= 7, K5 - A2 &gt; 2)</formula>
    </cfRule>
    <cfRule type="expression" dxfId="232" priority="15393" stopIfTrue="1">
      <formula>AND(K5&lt;&gt;"", K5 - A2 &lt;= 2)</formula>
    </cfRule>
  </conditionalFormatting>
  <conditionalFormatting sqref="L5">
    <cfRule type="expression" dxfId="231" priority="15394" stopIfTrue="1">
      <formula>AND(L5&lt;&gt;"", L5 - A2 &gt; 14)</formula>
    </cfRule>
    <cfRule type="expression" dxfId="230" priority="15395" stopIfTrue="1">
      <formula>AND(L5&lt;&gt;"", L5 - A2 &lt;= 14, L5 - A2 &gt; 7)</formula>
    </cfRule>
    <cfRule type="expression" dxfId="229" priority="15396" stopIfTrue="1">
      <formula>AND(L5&lt;&gt;"", L5 - A2 &lt;= 7, L5 - A2 &gt; 2)</formula>
    </cfRule>
    <cfRule type="expression" dxfId="228" priority="15397" stopIfTrue="1">
      <formula>AND(L5&lt;&gt;"", L5 - A2 &lt;= 2)</formula>
    </cfRule>
  </conditionalFormatting>
  <conditionalFormatting sqref="M5">
    <cfRule type="expression" dxfId="227" priority="15398" stopIfTrue="1">
      <formula>AND(M5&lt;&gt;"", M5 - A2 &gt; 14)</formula>
    </cfRule>
    <cfRule type="expression" dxfId="226" priority="15399" stopIfTrue="1">
      <formula>AND(M5&lt;&gt;"", M5 - A2 &lt;= 14, M5 - A2 &gt; 7)</formula>
    </cfRule>
    <cfRule type="expression" dxfId="225" priority="15400" stopIfTrue="1">
      <formula>AND(M5&lt;&gt;"", M5 - A2 &lt;= 7, M5 - A2 &gt; 2)</formula>
    </cfRule>
    <cfRule type="expression" dxfId="224" priority="15401" stopIfTrue="1">
      <formula>AND(M5&lt;&gt;"", M5 - A2 &lt;= 2)</formula>
    </cfRule>
  </conditionalFormatting>
  <conditionalFormatting sqref="N5">
    <cfRule type="expression" dxfId="223" priority="15402" stopIfTrue="1">
      <formula>AND(N5&lt;&gt;"", N5 - A2 &gt; 14)</formula>
    </cfRule>
    <cfRule type="expression" dxfId="222" priority="15403" stopIfTrue="1">
      <formula>AND(N5&lt;&gt;"", N5 - A2 &lt;= 14, N5 - A2 &gt; 7)</formula>
    </cfRule>
    <cfRule type="expression" dxfId="221" priority="15404" stopIfTrue="1">
      <formula>AND(N5&lt;&gt;"", N5 - A2 &lt;= 7, N5 - A2 &gt; 2)</formula>
    </cfRule>
    <cfRule type="expression" dxfId="220" priority="15405" stopIfTrue="1">
      <formula>AND(N5&lt;&gt;"", N5 - A2 &lt;= 2)</formula>
    </cfRule>
  </conditionalFormatting>
  <conditionalFormatting sqref="O5">
    <cfRule type="expression" dxfId="219" priority="15406" stopIfTrue="1">
      <formula>AND(O5&lt;&gt;"", O5 - A2 &gt; 14)</formula>
    </cfRule>
  </conditionalFormatting>
  <conditionalFormatting sqref="O5">
    <cfRule type="expression" dxfId="218" priority="15407" stopIfTrue="1">
      <formula>AND(O5&lt;&gt;"", O5 - A2 &lt;= 14, O5 - A2 &gt; 7)</formula>
    </cfRule>
  </conditionalFormatting>
  <conditionalFormatting sqref="O5">
    <cfRule type="expression" dxfId="217" priority="15408" stopIfTrue="1">
      <formula>AND(O5&lt;&gt;"", O5 - A2 &lt;= 7, O5 - A2 &gt; 2)</formula>
    </cfRule>
  </conditionalFormatting>
  <conditionalFormatting sqref="O5">
    <cfRule type="expression" dxfId="216" priority="15409" stopIfTrue="1">
      <formula>AND(O5&lt;&gt;"", O5 - A2 &lt;= 2)</formula>
    </cfRule>
  </conditionalFormatting>
  <conditionalFormatting sqref="P5">
    <cfRule type="expression" dxfId="215" priority="15410" stopIfTrue="1">
      <formula>AND(P5&lt;&gt;"", P5 - A2 &gt; 14)</formula>
    </cfRule>
  </conditionalFormatting>
  <conditionalFormatting sqref="P5">
    <cfRule type="expression" dxfId="214" priority="15411" stopIfTrue="1">
      <formula>AND(P5&lt;&gt;"", P5 - A2 &lt;= 14, P5 - A2 &gt; 7)</formula>
    </cfRule>
  </conditionalFormatting>
  <conditionalFormatting sqref="P5">
    <cfRule type="expression" dxfId="213" priority="15412" stopIfTrue="1">
      <formula>AND(P5&lt;&gt;"", P5 - A2 &lt;= 7, P5 - A2 &gt; 2)</formula>
    </cfRule>
  </conditionalFormatting>
  <conditionalFormatting sqref="P5">
    <cfRule type="expression" dxfId="212" priority="15413" stopIfTrue="1">
      <formula>AND(P5&lt;&gt;"", P5 - A2 &lt;= 2)</formula>
    </cfRule>
  </conditionalFormatting>
  <conditionalFormatting sqref="Q5">
    <cfRule type="expression" dxfId="211" priority="15414" stopIfTrue="1">
      <formula>AND(Q5&lt;&gt;"", Q5 - A2 &gt; 14)</formula>
    </cfRule>
  </conditionalFormatting>
  <conditionalFormatting sqref="Q5">
    <cfRule type="expression" dxfId="210" priority="15415" stopIfTrue="1">
      <formula>AND(Q5&lt;&gt;"", Q5 - A2 &lt;= 14, Q5 - A2 &gt; 7)</formula>
    </cfRule>
  </conditionalFormatting>
  <conditionalFormatting sqref="Q5">
    <cfRule type="expression" dxfId="209" priority="15416" stopIfTrue="1">
      <formula>AND(Q5&lt;&gt;"", Q5 - A2 &lt;= 7, Q5 - A2 &gt; 2)</formula>
    </cfRule>
  </conditionalFormatting>
  <conditionalFormatting sqref="Q5">
    <cfRule type="expression" dxfId="208" priority="15417" stopIfTrue="1">
      <formula>AND(Q5&lt;&gt;"", Q5 - A2 &lt;= 2)</formula>
    </cfRule>
  </conditionalFormatting>
  <conditionalFormatting sqref="R5">
    <cfRule type="expression" dxfId="207" priority="15418" stopIfTrue="1">
      <formula>AND(R5&lt;&gt;"", R5 - A2 &gt; 14)</formula>
    </cfRule>
  </conditionalFormatting>
  <conditionalFormatting sqref="R5">
    <cfRule type="expression" dxfId="206" priority="15419" stopIfTrue="1">
      <formula>AND(R5&lt;&gt;"", R5 - A2 &lt;= 14, R5 - A2 &gt; 7)</formula>
    </cfRule>
  </conditionalFormatting>
  <conditionalFormatting sqref="R5">
    <cfRule type="expression" dxfId="205" priority="15420" stopIfTrue="1">
      <formula>AND(R5&lt;&gt;"", R5 - A2 &lt;= 7, R5 - A2 &gt; 2)</formula>
    </cfRule>
  </conditionalFormatting>
  <conditionalFormatting sqref="R5">
    <cfRule type="expression" dxfId="204" priority="15421" stopIfTrue="1">
      <formula>AND(R5&lt;&gt;"", R5 - A2 &lt;= 2)</formula>
    </cfRule>
  </conditionalFormatting>
  <conditionalFormatting sqref="S5">
    <cfRule type="expression" dxfId="203" priority="15422" stopIfTrue="1">
      <formula>AND(S5&lt;&gt;"", S5 - A2 &gt; 14)</formula>
    </cfRule>
  </conditionalFormatting>
  <conditionalFormatting sqref="S5">
    <cfRule type="expression" dxfId="202" priority="15423" stopIfTrue="1">
      <formula>AND(S5&lt;&gt;"", S5 - A2 &lt;= 14, S5 - A2 &gt; 7)</formula>
    </cfRule>
  </conditionalFormatting>
  <conditionalFormatting sqref="S5">
    <cfRule type="expression" dxfId="201" priority="15424" stopIfTrue="1">
      <formula>AND(S5&lt;&gt;"", S5 - A2 &lt;= 7, S5 - A2 &gt; 2)</formula>
    </cfRule>
  </conditionalFormatting>
  <conditionalFormatting sqref="S5">
    <cfRule type="expression" dxfId="200" priority="15425" stopIfTrue="1">
      <formula>AND(S5&lt;&gt;"", S5 - A2 &lt;= 2)</formula>
    </cfRule>
  </conditionalFormatting>
  <conditionalFormatting sqref="T5">
    <cfRule type="expression" dxfId="199" priority="15426" stopIfTrue="1">
      <formula>AND(T5&lt;&gt;"", T5 - A2 &gt; 14)</formula>
    </cfRule>
  </conditionalFormatting>
  <conditionalFormatting sqref="T5">
    <cfRule type="expression" dxfId="198" priority="15427" stopIfTrue="1">
      <formula>AND(T5&lt;&gt;"", T5 - A2 &lt;= 14, T5 - A2 &gt; 7)</formula>
    </cfRule>
  </conditionalFormatting>
  <conditionalFormatting sqref="T5">
    <cfRule type="expression" dxfId="197" priority="15428" stopIfTrue="1">
      <formula>AND(T5&lt;&gt;"", T5 - A2 &lt;= 7, T5 - A2 &gt; 2)</formula>
    </cfRule>
  </conditionalFormatting>
  <conditionalFormatting sqref="T5">
    <cfRule type="expression" dxfId="196" priority="15429" stopIfTrue="1">
      <formula>AND(T5&lt;&gt;"", T5 - A2 &lt;= 2)</formula>
    </cfRule>
  </conditionalFormatting>
  <conditionalFormatting sqref="U5">
    <cfRule type="expression" dxfId="195" priority="15430" stopIfTrue="1">
      <formula>AND(U5&lt;&gt;"", U5 - A2 &gt; 14)</formula>
    </cfRule>
  </conditionalFormatting>
  <conditionalFormatting sqref="U5">
    <cfRule type="expression" dxfId="194" priority="15431" stopIfTrue="1">
      <formula>AND(U5&lt;&gt;"", U5 - A2 &lt;= 14, U5 - A2 &gt; 7)</formula>
    </cfRule>
  </conditionalFormatting>
  <conditionalFormatting sqref="U5">
    <cfRule type="expression" dxfId="193" priority="15432" stopIfTrue="1">
      <formula>AND(U5&lt;&gt;"", U5 - A2 &lt;= 7, U5 - A2 &gt; 2)</formula>
    </cfRule>
  </conditionalFormatting>
  <conditionalFormatting sqref="U5">
    <cfRule type="expression" dxfId="192" priority="15433" stopIfTrue="1">
      <formula>AND(U5&lt;&gt;"", U5 - A2 &lt;= 2)</formula>
    </cfRule>
  </conditionalFormatting>
  <conditionalFormatting sqref="J6">
    <cfRule type="expression" dxfId="191" priority="15434" stopIfTrue="1">
      <formula>AND(J6&lt;&gt;"", J6 - A2 &gt; 14)</formula>
    </cfRule>
    <cfRule type="expression" dxfId="190" priority="15435" stopIfTrue="1">
      <formula>AND(J6&lt;&gt;"", J6 - A2 &lt;= 14, J6 - A2 &gt; 7)</formula>
    </cfRule>
    <cfRule type="expression" dxfId="189" priority="15436" stopIfTrue="1">
      <formula>AND(J6&lt;&gt;"", J6 - A2 &lt;= 7, J6 - A2 &gt; 2)</formula>
    </cfRule>
    <cfRule type="expression" dxfId="188" priority="15437" stopIfTrue="1">
      <formula>AND(J6&lt;&gt;"", J6 - A2 &lt;= 2)</formula>
    </cfRule>
  </conditionalFormatting>
  <conditionalFormatting sqref="K6">
    <cfRule type="expression" dxfId="187" priority="15438" stopIfTrue="1">
      <formula>AND(K6&lt;&gt;"", K6 - A2 &gt; 14)</formula>
    </cfRule>
    <cfRule type="expression" dxfId="186" priority="15439" stopIfTrue="1">
      <formula>AND(K6&lt;&gt;"", K6 - A2 &lt;= 14, K6 - A2 &gt; 7)</formula>
    </cfRule>
    <cfRule type="expression" dxfId="185" priority="15440" stopIfTrue="1">
      <formula>AND(K6&lt;&gt;"", K6 - A2 &lt;= 7, K6 - A2 &gt; 2)</formula>
    </cfRule>
    <cfRule type="expression" dxfId="184" priority="15441" stopIfTrue="1">
      <formula>AND(K6&lt;&gt;"", K6 - A2 &lt;= 2)</formula>
    </cfRule>
  </conditionalFormatting>
  <conditionalFormatting sqref="L6">
    <cfRule type="expression" dxfId="183" priority="15442" stopIfTrue="1">
      <formula>AND(L6&lt;&gt;"", L6 - A2 &gt; 14)</formula>
    </cfRule>
    <cfRule type="expression" dxfId="182" priority="15443" stopIfTrue="1">
      <formula>AND(L6&lt;&gt;"", L6 - A2 &lt;= 14, L6 - A2 &gt; 7)</formula>
    </cfRule>
    <cfRule type="expression" dxfId="181" priority="15444" stopIfTrue="1">
      <formula>AND(L6&lt;&gt;"", L6 - A2 &lt;= 7, L6 - A2 &gt; 2)</formula>
    </cfRule>
    <cfRule type="expression" dxfId="180" priority="15445" stopIfTrue="1">
      <formula>AND(L6&lt;&gt;"", L6 - A2 &lt;= 2)</formula>
    </cfRule>
  </conditionalFormatting>
  <conditionalFormatting sqref="M6">
    <cfRule type="expression" dxfId="179" priority="15446" stopIfTrue="1">
      <formula>AND(M6&lt;&gt;"", M6 - A2 &gt; 14)</formula>
    </cfRule>
    <cfRule type="expression" dxfId="178" priority="15447" stopIfTrue="1">
      <formula>AND(M6&lt;&gt;"", M6 - A2 &lt;= 14, M6 - A2 &gt; 7)</formula>
    </cfRule>
    <cfRule type="expression" dxfId="177" priority="15448" stopIfTrue="1">
      <formula>AND(M6&lt;&gt;"", M6 - A2 &lt;= 7, M6 - A2 &gt; 2)</formula>
    </cfRule>
    <cfRule type="expression" dxfId="176" priority="15449" stopIfTrue="1">
      <formula>AND(M6&lt;&gt;"", M6 - A2 &lt;= 2)</formula>
    </cfRule>
  </conditionalFormatting>
  <conditionalFormatting sqref="N6">
    <cfRule type="expression" dxfId="175" priority="15450" stopIfTrue="1">
      <formula>AND(N6&lt;&gt;"", N6 - A2 &gt; 14)</formula>
    </cfRule>
    <cfRule type="expression" dxfId="174" priority="15451" stopIfTrue="1">
      <formula>AND(N6&lt;&gt;"", N6 - A2 &lt;= 14, N6 - A2 &gt; 7)</formula>
    </cfRule>
    <cfRule type="expression" dxfId="173" priority="15452" stopIfTrue="1">
      <formula>AND(N6&lt;&gt;"", N6 - A2 &lt;= 7, N6 - A2 &gt; 2)</formula>
    </cfRule>
    <cfRule type="expression" dxfId="172" priority="15453" stopIfTrue="1">
      <formula>AND(N6&lt;&gt;"", N6 - A2 &lt;= 2)</formula>
    </cfRule>
  </conditionalFormatting>
  <conditionalFormatting sqref="O6">
    <cfRule type="expression" dxfId="171" priority="15454" stopIfTrue="1">
      <formula>AND(O6&lt;&gt;"", O6 - A2 &gt; 14)</formula>
    </cfRule>
  </conditionalFormatting>
  <conditionalFormatting sqref="O6">
    <cfRule type="expression" dxfId="170" priority="15455" stopIfTrue="1">
      <formula>AND(O6&lt;&gt;"", O6 - A2 &lt;= 14, O6 - A2 &gt; 7)</formula>
    </cfRule>
  </conditionalFormatting>
  <conditionalFormatting sqref="O6">
    <cfRule type="expression" dxfId="169" priority="15456" stopIfTrue="1">
      <formula>AND(O6&lt;&gt;"", O6 - A2 &lt;= 7, O6 - A2 &gt; 2)</formula>
    </cfRule>
  </conditionalFormatting>
  <conditionalFormatting sqref="O6">
    <cfRule type="expression" dxfId="168" priority="15457" stopIfTrue="1">
      <formula>AND(O6&lt;&gt;"", O6 - A2 &lt;= 2)</formula>
    </cfRule>
  </conditionalFormatting>
  <conditionalFormatting sqref="P6">
    <cfRule type="expression" dxfId="167" priority="15458" stopIfTrue="1">
      <formula>AND(P6&lt;&gt;"", P6 - A2 &gt; 14)</formula>
    </cfRule>
  </conditionalFormatting>
  <conditionalFormatting sqref="P6">
    <cfRule type="expression" dxfId="166" priority="15459" stopIfTrue="1">
      <formula>AND(P6&lt;&gt;"", P6 - A2 &lt;= 14, P6 - A2 &gt; 7)</formula>
    </cfRule>
  </conditionalFormatting>
  <conditionalFormatting sqref="P6">
    <cfRule type="expression" dxfId="165" priority="15460" stopIfTrue="1">
      <formula>AND(P6&lt;&gt;"", P6 - A2 &lt;= 7, P6 - A2 &gt; 2)</formula>
    </cfRule>
  </conditionalFormatting>
  <conditionalFormatting sqref="P6">
    <cfRule type="expression" dxfId="164" priority="15461" stopIfTrue="1">
      <formula>AND(P6&lt;&gt;"", P6 - A2 &lt;= 2)</formula>
    </cfRule>
  </conditionalFormatting>
  <conditionalFormatting sqref="Q6">
    <cfRule type="expression" dxfId="163" priority="15462" stopIfTrue="1">
      <formula>AND(Q6&lt;&gt;"", Q6 - A2 &gt; 14)</formula>
    </cfRule>
  </conditionalFormatting>
  <conditionalFormatting sqref="Q6">
    <cfRule type="expression" dxfId="162" priority="15463" stopIfTrue="1">
      <formula>AND(Q6&lt;&gt;"", Q6 - A2 &lt;= 14, Q6 - A2 &gt; 7)</formula>
    </cfRule>
  </conditionalFormatting>
  <conditionalFormatting sqref="Q6">
    <cfRule type="expression" dxfId="161" priority="15464" stopIfTrue="1">
      <formula>AND(Q6&lt;&gt;"", Q6 - A2 &lt;= 7, Q6 - A2 &gt; 2)</formula>
    </cfRule>
  </conditionalFormatting>
  <conditionalFormatting sqref="Q6">
    <cfRule type="expression" dxfId="160" priority="15465" stopIfTrue="1">
      <formula>AND(Q6&lt;&gt;"", Q6 - A2 &lt;= 2)</formula>
    </cfRule>
  </conditionalFormatting>
  <conditionalFormatting sqref="R6">
    <cfRule type="expression" dxfId="159" priority="15466" stopIfTrue="1">
      <formula>AND(R6&lt;&gt;"", R6 - A2 &gt; 14)</formula>
    </cfRule>
  </conditionalFormatting>
  <conditionalFormatting sqref="R6">
    <cfRule type="expression" dxfId="158" priority="15467" stopIfTrue="1">
      <formula>AND(R6&lt;&gt;"", R6 - A2 &lt;= 14, R6 - A2 &gt; 7)</formula>
    </cfRule>
  </conditionalFormatting>
  <conditionalFormatting sqref="R6">
    <cfRule type="expression" dxfId="157" priority="15468" stopIfTrue="1">
      <formula>AND(R6&lt;&gt;"", R6 - A2 &lt;= 7, R6 - A2 &gt; 2)</formula>
    </cfRule>
  </conditionalFormatting>
  <conditionalFormatting sqref="R6">
    <cfRule type="expression" dxfId="156" priority="15469" stopIfTrue="1">
      <formula>AND(R6&lt;&gt;"", R6 - A2 &lt;= 2)</formula>
    </cfRule>
  </conditionalFormatting>
  <conditionalFormatting sqref="S6">
    <cfRule type="expression" dxfId="155" priority="15470" stopIfTrue="1">
      <formula>AND(S6&lt;&gt;"", S6 - A2 &gt; 14)</formula>
    </cfRule>
  </conditionalFormatting>
  <conditionalFormatting sqref="S6">
    <cfRule type="expression" dxfId="154" priority="15471" stopIfTrue="1">
      <formula>AND(S6&lt;&gt;"", S6 - A2 &lt;= 14, S6 - A2 &gt; 7)</formula>
    </cfRule>
  </conditionalFormatting>
  <conditionalFormatting sqref="S6">
    <cfRule type="expression" dxfId="153" priority="15472" stopIfTrue="1">
      <formula>AND(S6&lt;&gt;"", S6 - A2 &lt;= 7, S6 - A2 &gt; 2)</formula>
    </cfRule>
  </conditionalFormatting>
  <conditionalFormatting sqref="S6">
    <cfRule type="expression" dxfId="152" priority="15473" stopIfTrue="1">
      <formula>AND(S6&lt;&gt;"", S6 - A2 &lt;= 2)</formula>
    </cfRule>
  </conditionalFormatting>
  <conditionalFormatting sqref="T6">
    <cfRule type="expression" dxfId="151" priority="15474" stopIfTrue="1">
      <formula>AND(T6&lt;&gt;"", T6 - A2 &gt; 14)</formula>
    </cfRule>
  </conditionalFormatting>
  <conditionalFormatting sqref="T6">
    <cfRule type="expression" dxfId="150" priority="15475" stopIfTrue="1">
      <formula>AND(T6&lt;&gt;"", T6 - A2 &lt;= 14, T6 - A2 &gt; 7)</formula>
    </cfRule>
  </conditionalFormatting>
  <conditionalFormatting sqref="T6">
    <cfRule type="expression" dxfId="149" priority="15476" stopIfTrue="1">
      <formula>AND(T6&lt;&gt;"", T6 - A2 &lt;= 7, T6 - A2 &gt; 2)</formula>
    </cfRule>
  </conditionalFormatting>
  <conditionalFormatting sqref="T6">
    <cfRule type="expression" dxfId="148" priority="15477" stopIfTrue="1">
      <formula>AND(T6&lt;&gt;"", T6 - A2 &lt;= 2)</formula>
    </cfRule>
  </conditionalFormatting>
  <conditionalFormatting sqref="U6">
    <cfRule type="expression" dxfId="147" priority="15478" stopIfTrue="1">
      <formula>AND(U6&lt;&gt;"", U6 - A2 &gt; 14)</formula>
    </cfRule>
  </conditionalFormatting>
  <conditionalFormatting sqref="U6">
    <cfRule type="expression" dxfId="146" priority="15479" stopIfTrue="1">
      <formula>AND(U6&lt;&gt;"", U6 - A2 &lt;= 14, U6 - A2 &gt; 7)</formula>
    </cfRule>
  </conditionalFormatting>
  <conditionalFormatting sqref="U6">
    <cfRule type="expression" dxfId="145" priority="15480" stopIfTrue="1">
      <formula>AND(U6&lt;&gt;"", U6 - A2 &lt;= 7, U6 - A2 &gt; 2)</formula>
    </cfRule>
  </conditionalFormatting>
  <conditionalFormatting sqref="U6">
    <cfRule type="expression" dxfId="144" priority="15481" stopIfTrue="1">
      <formula>AND(U6&lt;&gt;"", U6 - A2 &lt;= 2)</formula>
    </cfRule>
  </conditionalFormatting>
  <conditionalFormatting sqref="J7">
    <cfRule type="expression" dxfId="143" priority="15482" stopIfTrue="1">
      <formula>AND(J7&lt;&gt;"", J7 - A2 &gt; 14)</formula>
    </cfRule>
  </conditionalFormatting>
  <conditionalFormatting sqref="J7">
    <cfRule type="expression" dxfId="142" priority="15483" stopIfTrue="1">
      <formula>AND(J7&lt;&gt;"", J7 - A2 &lt;= 14, J7 - A2 &gt; 7)</formula>
    </cfRule>
  </conditionalFormatting>
  <conditionalFormatting sqref="J7">
    <cfRule type="expression" dxfId="141" priority="15484" stopIfTrue="1">
      <formula>AND(J7&lt;&gt;"", J7 - A2 &lt;= 7, J7 - A2 &gt; 2)</formula>
    </cfRule>
  </conditionalFormatting>
  <conditionalFormatting sqref="J7">
    <cfRule type="expression" dxfId="140" priority="15485" stopIfTrue="1">
      <formula>AND(J7&lt;&gt;"", J7 - A2 &lt;= 2)</formula>
    </cfRule>
  </conditionalFormatting>
  <conditionalFormatting sqref="K7">
    <cfRule type="expression" dxfId="139" priority="15486" stopIfTrue="1">
      <formula>AND(K7&lt;&gt;"", K7 - A2 &gt; 14)</formula>
    </cfRule>
  </conditionalFormatting>
  <conditionalFormatting sqref="K7">
    <cfRule type="expression" dxfId="138" priority="15487" stopIfTrue="1">
      <formula>AND(K7&lt;&gt;"", K7 - A2 &lt;= 14, K7 - A2 &gt; 7)</formula>
    </cfRule>
  </conditionalFormatting>
  <conditionalFormatting sqref="K7">
    <cfRule type="expression" dxfId="137" priority="15488" stopIfTrue="1">
      <formula>AND(K7&lt;&gt;"", K7 - A2 &lt;= 7, K7 - A2 &gt; 2)</formula>
    </cfRule>
  </conditionalFormatting>
  <conditionalFormatting sqref="K7">
    <cfRule type="expression" dxfId="136" priority="15489" stopIfTrue="1">
      <formula>AND(K7&lt;&gt;"", K7 - A2 &lt;= 2)</formula>
    </cfRule>
  </conditionalFormatting>
  <conditionalFormatting sqref="L7">
    <cfRule type="expression" dxfId="135" priority="15490" stopIfTrue="1">
      <formula>AND(L7&lt;&gt;"", L7 - A2 &gt; 14)</formula>
    </cfRule>
  </conditionalFormatting>
  <conditionalFormatting sqref="L7">
    <cfRule type="expression" dxfId="134" priority="15491" stopIfTrue="1">
      <formula>AND(L7&lt;&gt;"", L7 - A2 &lt;= 14, L7 - A2 &gt; 7)</formula>
    </cfRule>
  </conditionalFormatting>
  <conditionalFormatting sqref="L7">
    <cfRule type="expression" dxfId="133" priority="15492" stopIfTrue="1">
      <formula>AND(L7&lt;&gt;"", L7 - A2 &lt;= 7, L7 - A2 &gt; 2)</formula>
    </cfRule>
  </conditionalFormatting>
  <conditionalFormatting sqref="L7">
    <cfRule type="expression" dxfId="132" priority="15493" stopIfTrue="1">
      <formula>AND(L7&lt;&gt;"", L7 - A2 &lt;= 2)</formula>
    </cfRule>
  </conditionalFormatting>
  <conditionalFormatting sqref="M7">
    <cfRule type="expression" dxfId="131" priority="15494" stopIfTrue="1">
      <formula>AND(M7&lt;&gt;"", M7 - A2 &gt; 14)</formula>
    </cfRule>
  </conditionalFormatting>
  <conditionalFormatting sqref="M7">
    <cfRule type="expression" dxfId="130" priority="15495" stopIfTrue="1">
      <formula>AND(M7&lt;&gt;"", M7 - A2 &lt;= 14, M7 - A2 &gt; 7)</formula>
    </cfRule>
  </conditionalFormatting>
  <conditionalFormatting sqref="M7">
    <cfRule type="expression" dxfId="129" priority="15496" stopIfTrue="1">
      <formula>AND(M7&lt;&gt;"", M7 - A2 &lt;= 7, M7 - A2 &gt; 2)</formula>
    </cfRule>
  </conditionalFormatting>
  <conditionalFormatting sqref="M7">
    <cfRule type="expression" dxfId="128" priority="15497" stopIfTrue="1">
      <formula>AND(M7&lt;&gt;"", M7 - A2 &lt;= 2)</formula>
    </cfRule>
  </conditionalFormatting>
  <conditionalFormatting sqref="N7">
    <cfRule type="expression" dxfId="127" priority="15498" stopIfTrue="1">
      <formula>AND(N7&lt;&gt;"", N7 - A2 &gt; 14)</formula>
    </cfRule>
  </conditionalFormatting>
  <conditionalFormatting sqref="N7">
    <cfRule type="expression" dxfId="126" priority="15499" stopIfTrue="1">
      <formula>AND(N7&lt;&gt;"", N7 - A2 &lt;= 14, N7 - A2 &gt; 7)</formula>
    </cfRule>
  </conditionalFormatting>
  <conditionalFormatting sqref="N7">
    <cfRule type="expression" dxfId="125" priority="15500" stopIfTrue="1">
      <formula>AND(N7&lt;&gt;"", N7 - A2 &lt;= 7, N7 - A2 &gt; 2)</formula>
    </cfRule>
  </conditionalFormatting>
  <conditionalFormatting sqref="N7">
    <cfRule type="expression" dxfId="124" priority="15501" stopIfTrue="1">
      <formula>AND(N7&lt;&gt;"", N7 - A2 &lt;= 2)</formula>
    </cfRule>
  </conditionalFormatting>
  <conditionalFormatting sqref="O7">
    <cfRule type="expression" dxfId="123" priority="15502" stopIfTrue="1">
      <formula>AND(O7&lt;&gt;"", O7 - A2 &gt; 14)</formula>
    </cfRule>
  </conditionalFormatting>
  <conditionalFormatting sqref="O7">
    <cfRule type="expression" dxfId="122" priority="15503" stopIfTrue="1">
      <formula>AND(O7&lt;&gt;"", O7 - A2 &lt;= 14, O7 - A2 &gt; 7)</formula>
    </cfRule>
  </conditionalFormatting>
  <conditionalFormatting sqref="O7">
    <cfRule type="expression" dxfId="121" priority="15504" stopIfTrue="1">
      <formula>AND(O7&lt;&gt;"", O7 - A2 &lt;= 7, O7 - A2 &gt; 2)</formula>
    </cfRule>
  </conditionalFormatting>
  <conditionalFormatting sqref="O7">
    <cfRule type="expression" dxfId="120" priority="15505" stopIfTrue="1">
      <formula>AND(O7&lt;&gt;"", O7 - A2 &lt;= 2)</formula>
    </cfRule>
  </conditionalFormatting>
  <conditionalFormatting sqref="P7">
    <cfRule type="expression" dxfId="119" priority="15506" stopIfTrue="1">
      <formula>AND(P7&lt;&gt;"", P7 - A2 &gt; 14)</formula>
    </cfRule>
  </conditionalFormatting>
  <conditionalFormatting sqref="P7">
    <cfRule type="expression" dxfId="118" priority="15507" stopIfTrue="1">
      <formula>AND(P7&lt;&gt;"", P7 - A2 &lt;= 14, P7 - A2 &gt; 7)</formula>
    </cfRule>
  </conditionalFormatting>
  <conditionalFormatting sqref="P7">
    <cfRule type="expression" dxfId="117" priority="15508" stopIfTrue="1">
      <formula>AND(P7&lt;&gt;"", P7 - A2 &lt;= 7, P7 - A2 &gt; 2)</formula>
    </cfRule>
  </conditionalFormatting>
  <conditionalFormatting sqref="P7">
    <cfRule type="expression" dxfId="116" priority="15509" stopIfTrue="1">
      <formula>AND(P7&lt;&gt;"", P7 - A2 &lt;= 2)</formula>
    </cfRule>
  </conditionalFormatting>
  <conditionalFormatting sqref="Q7">
    <cfRule type="expression" dxfId="115" priority="15510" stopIfTrue="1">
      <formula>AND(Q7&lt;&gt;"", Q7 - A2 &gt; 14)</formula>
    </cfRule>
  </conditionalFormatting>
  <conditionalFormatting sqref="Q7">
    <cfRule type="expression" dxfId="114" priority="15511" stopIfTrue="1">
      <formula>AND(Q7&lt;&gt;"", Q7 - A2 &lt;= 14, Q7 - A2 &gt; 7)</formula>
    </cfRule>
  </conditionalFormatting>
  <conditionalFormatting sqref="Q7">
    <cfRule type="expression" dxfId="113" priority="15512" stopIfTrue="1">
      <formula>AND(Q7&lt;&gt;"", Q7 - A2 &lt;= 7, Q7 - A2 &gt; 2)</formula>
    </cfRule>
  </conditionalFormatting>
  <conditionalFormatting sqref="Q7">
    <cfRule type="expression" dxfId="112" priority="15513" stopIfTrue="1">
      <formula>AND(Q7&lt;&gt;"", Q7 - A2 &lt;= 2)</formula>
    </cfRule>
  </conditionalFormatting>
  <conditionalFormatting sqref="R7">
    <cfRule type="expression" dxfId="111" priority="15514" stopIfTrue="1">
      <formula>AND(R7&lt;&gt;"", R7 - A2 &gt; 14)</formula>
    </cfRule>
  </conditionalFormatting>
  <conditionalFormatting sqref="R7">
    <cfRule type="expression" dxfId="110" priority="15515" stopIfTrue="1">
      <formula>AND(R7&lt;&gt;"", R7 - A2 &lt;= 14, R7 - A2 &gt; 7)</formula>
    </cfRule>
  </conditionalFormatting>
  <conditionalFormatting sqref="R7">
    <cfRule type="expression" dxfId="109" priority="15516" stopIfTrue="1">
      <formula>AND(R7&lt;&gt;"", R7 - A2 &lt;= 7, R7 - A2 &gt; 2)</formula>
    </cfRule>
  </conditionalFormatting>
  <conditionalFormatting sqref="R7">
    <cfRule type="expression" dxfId="108" priority="15517" stopIfTrue="1">
      <formula>AND(R7&lt;&gt;"", R7 - A2 &lt;= 2)</formula>
    </cfRule>
  </conditionalFormatting>
  <conditionalFormatting sqref="S7">
    <cfRule type="expression" dxfId="107" priority="15518" stopIfTrue="1">
      <formula>AND(S7&lt;&gt;"", S7 - A2 &gt; 14)</formula>
    </cfRule>
  </conditionalFormatting>
  <conditionalFormatting sqref="S7">
    <cfRule type="expression" dxfId="106" priority="15519" stopIfTrue="1">
      <formula>AND(S7&lt;&gt;"", S7 - A2 &lt;= 14, S7 - A2 &gt; 7)</formula>
    </cfRule>
  </conditionalFormatting>
  <conditionalFormatting sqref="S7">
    <cfRule type="expression" dxfId="105" priority="15520" stopIfTrue="1">
      <formula>AND(S7&lt;&gt;"", S7 - A2 &lt;= 7, S7 - A2 &gt; 2)</formula>
    </cfRule>
  </conditionalFormatting>
  <conditionalFormatting sqref="S7">
    <cfRule type="expression" dxfId="104" priority="15521" stopIfTrue="1">
      <formula>AND(S7&lt;&gt;"", S7 - A2 &lt;= 2)</formula>
    </cfRule>
  </conditionalFormatting>
  <conditionalFormatting sqref="T7">
    <cfRule type="expression" dxfId="103" priority="15522" stopIfTrue="1">
      <formula>AND(T7&lt;&gt;"", T7 - A2 &gt; 14)</formula>
    </cfRule>
  </conditionalFormatting>
  <conditionalFormatting sqref="T7">
    <cfRule type="expression" dxfId="102" priority="15523" stopIfTrue="1">
      <formula>AND(T7&lt;&gt;"", T7 - A2 &lt;= 14, T7 - A2 &gt; 7)</formula>
    </cfRule>
  </conditionalFormatting>
  <conditionalFormatting sqref="T7">
    <cfRule type="expression" dxfId="101" priority="15524" stopIfTrue="1">
      <formula>AND(T7&lt;&gt;"", T7 - A2 &lt;= 7, T7 - A2 &gt; 2)</formula>
    </cfRule>
  </conditionalFormatting>
  <conditionalFormatting sqref="T7">
    <cfRule type="expression" dxfId="100" priority="15525" stopIfTrue="1">
      <formula>AND(T7&lt;&gt;"", T7 - A2 &lt;= 2)</formula>
    </cfRule>
  </conditionalFormatting>
  <conditionalFormatting sqref="U7">
    <cfRule type="expression" dxfId="99" priority="15526" stopIfTrue="1">
      <formula>AND(U7&lt;&gt;"", U7 - A2 &gt; 14)</formula>
    </cfRule>
  </conditionalFormatting>
  <conditionalFormatting sqref="U7">
    <cfRule type="expression" dxfId="98" priority="15527" stopIfTrue="1">
      <formula>AND(U7&lt;&gt;"", U7 - A2 &lt;= 14, U7 - A2 &gt; 7)</formula>
    </cfRule>
  </conditionalFormatting>
  <conditionalFormatting sqref="U7">
    <cfRule type="expression" dxfId="97" priority="15528" stopIfTrue="1">
      <formula>AND(U7&lt;&gt;"", U7 - A2 &lt;= 7, U7 - A2 &gt; 2)</formula>
    </cfRule>
  </conditionalFormatting>
  <conditionalFormatting sqref="U7">
    <cfRule type="expression" dxfId="96" priority="15529" stopIfTrue="1">
      <formula>AND(U7&lt;&gt;"", U7 - A2 &lt;= 2)</formula>
    </cfRule>
  </conditionalFormatting>
  <conditionalFormatting sqref="J8">
    <cfRule type="expression" dxfId="95" priority="15530" stopIfTrue="1">
      <formula>AND(J8&lt;&gt;"", J8 - A2 &gt; 14)</formula>
    </cfRule>
  </conditionalFormatting>
  <conditionalFormatting sqref="J8">
    <cfRule type="expression" dxfId="94" priority="15531" stopIfTrue="1">
      <formula>AND(J8&lt;&gt;"", J8 - A2 &lt;= 14, J8 - A2 &gt; 7)</formula>
    </cfRule>
  </conditionalFormatting>
  <conditionalFormatting sqref="J8">
    <cfRule type="expression" dxfId="93" priority="15532" stopIfTrue="1">
      <formula>AND(J8&lt;&gt;"", J8 - A2 &lt;= 7, J8 - A2 &gt; 2)</formula>
    </cfRule>
  </conditionalFormatting>
  <conditionalFormatting sqref="J8">
    <cfRule type="expression" dxfId="92" priority="15533" stopIfTrue="1">
      <formula>AND(J8&lt;&gt;"", J8 - A2 &lt;= 2)</formula>
    </cfRule>
  </conditionalFormatting>
  <conditionalFormatting sqref="K8">
    <cfRule type="expression" dxfId="91" priority="15534" stopIfTrue="1">
      <formula>AND(K8&lt;&gt;"", K8 - A2 &gt; 14)</formula>
    </cfRule>
  </conditionalFormatting>
  <conditionalFormatting sqref="K8">
    <cfRule type="expression" dxfId="90" priority="15535" stopIfTrue="1">
      <formula>AND(K8&lt;&gt;"", K8 - A2 &lt;= 14, K8 - A2 &gt; 7)</formula>
    </cfRule>
  </conditionalFormatting>
  <conditionalFormatting sqref="K8">
    <cfRule type="expression" dxfId="89" priority="15536" stopIfTrue="1">
      <formula>AND(K8&lt;&gt;"", K8 - A2 &lt;= 7, K8 - A2 &gt; 2)</formula>
    </cfRule>
  </conditionalFormatting>
  <conditionalFormatting sqref="K8">
    <cfRule type="expression" dxfId="88" priority="15537" stopIfTrue="1">
      <formula>AND(K8&lt;&gt;"", K8 - A2 &lt;= 2)</formula>
    </cfRule>
  </conditionalFormatting>
  <conditionalFormatting sqref="L8">
    <cfRule type="expression" dxfId="87" priority="15538" stopIfTrue="1">
      <formula>AND(L8&lt;&gt;"", L8 - A2 &gt; 14)</formula>
    </cfRule>
  </conditionalFormatting>
  <conditionalFormatting sqref="L8">
    <cfRule type="expression" dxfId="86" priority="15539" stopIfTrue="1">
      <formula>AND(L8&lt;&gt;"", L8 - A2 &lt;= 14, L8 - A2 &gt; 7)</formula>
    </cfRule>
  </conditionalFormatting>
  <conditionalFormatting sqref="L8">
    <cfRule type="expression" dxfId="85" priority="15540" stopIfTrue="1">
      <formula>AND(L8&lt;&gt;"", L8 - A2 &lt;= 7, L8 - A2 &gt; 2)</formula>
    </cfRule>
  </conditionalFormatting>
  <conditionalFormatting sqref="L8">
    <cfRule type="expression" dxfId="84" priority="15541" stopIfTrue="1">
      <formula>AND(L8&lt;&gt;"", L8 - A2 &lt;= 2)</formula>
    </cfRule>
  </conditionalFormatting>
  <conditionalFormatting sqref="M8">
    <cfRule type="expression" dxfId="83" priority="15542" stopIfTrue="1">
      <formula>AND(M8&lt;&gt;"", M8 - A2 &gt; 14)</formula>
    </cfRule>
  </conditionalFormatting>
  <conditionalFormatting sqref="M8">
    <cfRule type="expression" dxfId="82" priority="15543" stopIfTrue="1">
      <formula>AND(M8&lt;&gt;"", M8 - A2 &lt;= 14, M8 - A2 &gt; 7)</formula>
    </cfRule>
  </conditionalFormatting>
  <conditionalFormatting sqref="M8">
    <cfRule type="expression" dxfId="81" priority="15544" stopIfTrue="1">
      <formula>AND(M8&lt;&gt;"", M8 - A2 &lt;= 7, M8 - A2 &gt; 2)</formula>
    </cfRule>
  </conditionalFormatting>
  <conditionalFormatting sqref="M8">
    <cfRule type="expression" dxfId="80" priority="15545" stopIfTrue="1">
      <formula>AND(M8&lt;&gt;"", M8 - A2 &lt;= 2)</formula>
    </cfRule>
  </conditionalFormatting>
  <conditionalFormatting sqref="N8">
    <cfRule type="expression" dxfId="79" priority="15546" stopIfTrue="1">
      <formula>AND(N8&lt;&gt;"", N8 - A2 &gt; 14)</formula>
    </cfRule>
  </conditionalFormatting>
  <conditionalFormatting sqref="N8">
    <cfRule type="expression" dxfId="78" priority="15547" stopIfTrue="1">
      <formula>AND(N8&lt;&gt;"", N8 - A2 &lt;= 14, N8 - A2 &gt; 7)</formula>
    </cfRule>
  </conditionalFormatting>
  <conditionalFormatting sqref="N8">
    <cfRule type="expression" dxfId="77" priority="15548" stopIfTrue="1">
      <formula>AND(N8&lt;&gt;"", N8 - A2 &lt;= 7, N8 - A2 &gt; 2)</formula>
    </cfRule>
  </conditionalFormatting>
  <conditionalFormatting sqref="N8">
    <cfRule type="expression" dxfId="76" priority="15549" stopIfTrue="1">
      <formula>AND(N8&lt;&gt;"", N8 - A2 &lt;= 2)</formula>
    </cfRule>
  </conditionalFormatting>
  <conditionalFormatting sqref="O8">
    <cfRule type="expression" dxfId="75" priority="15550" stopIfTrue="1">
      <formula>AND(O8&lt;&gt;"", O8 - A2 &gt; 14)</formula>
    </cfRule>
  </conditionalFormatting>
  <conditionalFormatting sqref="O8">
    <cfRule type="expression" dxfId="74" priority="15551" stopIfTrue="1">
      <formula>AND(O8&lt;&gt;"", O8 - A2 &lt;= 14, O8 - A2 &gt; 7)</formula>
    </cfRule>
  </conditionalFormatting>
  <conditionalFormatting sqref="O8">
    <cfRule type="expression" dxfId="73" priority="15552" stopIfTrue="1">
      <formula>AND(O8&lt;&gt;"", O8 - A2 &lt;= 7, O8 - A2 &gt; 2)</formula>
    </cfRule>
  </conditionalFormatting>
  <conditionalFormatting sqref="O8">
    <cfRule type="expression" dxfId="72" priority="15553" stopIfTrue="1">
      <formula>AND(O8&lt;&gt;"", O8 - A2 &lt;= 2)</formula>
    </cfRule>
  </conditionalFormatting>
  <conditionalFormatting sqref="P8">
    <cfRule type="expression" dxfId="71" priority="15554" stopIfTrue="1">
      <formula>AND(P8&lt;&gt;"", P8 - A2 &gt; 14)</formula>
    </cfRule>
  </conditionalFormatting>
  <conditionalFormatting sqref="P8">
    <cfRule type="expression" dxfId="70" priority="15555" stopIfTrue="1">
      <formula>AND(P8&lt;&gt;"", P8 - A2 &lt;= 14, P8 - A2 &gt; 7)</formula>
    </cfRule>
  </conditionalFormatting>
  <conditionalFormatting sqref="P8">
    <cfRule type="expression" dxfId="69" priority="15556" stopIfTrue="1">
      <formula>AND(P8&lt;&gt;"", P8 - A2 &lt;= 7, P8 - A2 &gt; 2)</formula>
    </cfRule>
  </conditionalFormatting>
  <conditionalFormatting sqref="P8">
    <cfRule type="expression" dxfId="68" priority="15557" stopIfTrue="1">
      <formula>AND(P8&lt;&gt;"", P8 - A2 &lt;= 2)</formula>
    </cfRule>
  </conditionalFormatting>
  <conditionalFormatting sqref="Q8">
    <cfRule type="expression" dxfId="67" priority="15558" stopIfTrue="1">
      <formula>AND(Q8&lt;&gt;"", Q8 - A2 &gt; 14)</formula>
    </cfRule>
  </conditionalFormatting>
  <conditionalFormatting sqref="Q8">
    <cfRule type="expression" dxfId="66" priority="15559" stopIfTrue="1">
      <formula>AND(Q8&lt;&gt;"", Q8 - A2 &lt;= 14, Q8 - A2 &gt; 7)</formula>
    </cfRule>
  </conditionalFormatting>
  <conditionalFormatting sqref="Q8">
    <cfRule type="expression" dxfId="65" priority="15560" stopIfTrue="1">
      <formula>AND(Q8&lt;&gt;"", Q8 - A2 &lt;= 7, Q8 - A2 &gt; 2)</formula>
    </cfRule>
  </conditionalFormatting>
  <conditionalFormatting sqref="Q8">
    <cfRule type="expression" dxfId="64" priority="15561" stopIfTrue="1">
      <formula>AND(Q8&lt;&gt;"", Q8 - A2 &lt;= 2)</formula>
    </cfRule>
  </conditionalFormatting>
  <conditionalFormatting sqref="R8">
    <cfRule type="expression" dxfId="63" priority="15562" stopIfTrue="1">
      <formula>AND(R8&lt;&gt;"", R8 - A2 &gt; 14)</formula>
    </cfRule>
  </conditionalFormatting>
  <conditionalFormatting sqref="R8">
    <cfRule type="expression" dxfId="62" priority="15563" stopIfTrue="1">
      <formula>AND(R8&lt;&gt;"", R8 - A2 &lt;= 14, R8 - A2 &gt; 7)</formula>
    </cfRule>
  </conditionalFormatting>
  <conditionalFormatting sqref="R8">
    <cfRule type="expression" dxfId="61" priority="15564" stopIfTrue="1">
      <formula>AND(R8&lt;&gt;"", R8 - A2 &lt;= 7, R8 - A2 &gt; 2)</formula>
    </cfRule>
  </conditionalFormatting>
  <conditionalFormatting sqref="R8">
    <cfRule type="expression" dxfId="60" priority="15565" stopIfTrue="1">
      <formula>AND(R8&lt;&gt;"", R8 - A2 &lt;= 2)</formula>
    </cfRule>
  </conditionalFormatting>
  <conditionalFormatting sqref="S8">
    <cfRule type="expression" dxfId="59" priority="15566" stopIfTrue="1">
      <formula>AND(S8&lt;&gt;"", S8 - A2 &gt; 14)</formula>
    </cfRule>
  </conditionalFormatting>
  <conditionalFormatting sqref="S8">
    <cfRule type="expression" dxfId="58" priority="15567" stopIfTrue="1">
      <formula>AND(S8&lt;&gt;"", S8 - A2 &lt;= 14, S8 - A2 &gt; 7)</formula>
    </cfRule>
  </conditionalFormatting>
  <conditionalFormatting sqref="S8">
    <cfRule type="expression" dxfId="57" priority="15568" stopIfTrue="1">
      <formula>AND(S8&lt;&gt;"", S8 - A2 &lt;= 7, S8 - A2 &gt; 2)</formula>
    </cfRule>
  </conditionalFormatting>
  <conditionalFormatting sqref="S8">
    <cfRule type="expression" dxfId="56" priority="15569" stopIfTrue="1">
      <formula>AND(S8&lt;&gt;"", S8 - A2 &lt;= 2)</formula>
    </cfRule>
  </conditionalFormatting>
  <conditionalFormatting sqref="T8">
    <cfRule type="expression" dxfId="55" priority="15570" stopIfTrue="1">
      <formula>AND(T8&lt;&gt;"", T8 - A2 &gt; 14)</formula>
    </cfRule>
  </conditionalFormatting>
  <conditionalFormatting sqref="T8">
    <cfRule type="expression" dxfId="54" priority="15571" stopIfTrue="1">
      <formula>AND(T8&lt;&gt;"", T8 - A2 &lt;= 14, T8 - A2 &gt; 7)</formula>
    </cfRule>
  </conditionalFormatting>
  <conditionalFormatting sqref="T8">
    <cfRule type="expression" dxfId="53" priority="15572" stopIfTrue="1">
      <formula>AND(T8&lt;&gt;"", T8 - A2 &lt;= 7, T8 - A2 &gt; 2)</formula>
    </cfRule>
  </conditionalFormatting>
  <conditionalFormatting sqref="T8">
    <cfRule type="expression" dxfId="52" priority="15573" stopIfTrue="1">
      <formula>AND(T8&lt;&gt;"", T8 - A2 &lt;= 2)</formula>
    </cfRule>
  </conditionalFormatting>
  <conditionalFormatting sqref="U8">
    <cfRule type="expression" dxfId="51" priority="15574" stopIfTrue="1">
      <formula>AND(U8&lt;&gt;"", U8 - A2 &gt; 14)</formula>
    </cfRule>
  </conditionalFormatting>
  <conditionalFormatting sqref="U8">
    <cfRule type="expression" dxfId="50" priority="15575" stopIfTrue="1">
      <formula>AND(U8&lt;&gt;"", U8 - A2 &lt;= 14, U8 - A2 &gt; 7)</formula>
    </cfRule>
  </conditionalFormatting>
  <conditionalFormatting sqref="U8">
    <cfRule type="expression" dxfId="49" priority="15576" stopIfTrue="1">
      <formula>AND(U8&lt;&gt;"", U8 - A2 &lt;= 7, U8 - A2 &gt; 2)</formula>
    </cfRule>
  </conditionalFormatting>
  <conditionalFormatting sqref="U8">
    <cfRule type="expression" dxfId="48" priority="15577" stopIfTrue="1">
      <formula>AND(U8&lt;&gt;"", U8 - A2 &lt;= 2)</formula>
    </cfRule>
  </conditionalFormatting>
  <conditionalFormatting sqref="J9">
    <cfRule type="expression" dxfId="47" priority="15578" stopIfTrue="1">
      <formula>AND(J9&lt;&gt;"", J9 - A2 &gt; 14)</formula>
    </cfRule>
  </conditionalFormatting>
  <conditionalFormatting sqref="J9">
    <cfRule type="expression" dxfId="46" priority="15579" stopIfTrue="1">
      <formula>AND(J9&lt;&gt;"", J9 - A2 &lt;= 14, J9 - A2 &gt; 7)</formula>
    </cfRule>
  </conditionalFormatting>
  <conditionalFormatting sqref="J9">
    <cfRule type="expression" dxfId="45" priority="15580" stopIfTrue="1">
      <formula>AND(J9&lt;&gt;"", J9 - A2 &lt;= 7, J9 - A2 &gt; 2)</formula>
    </cfRule>
  </conditionalFormatting>
  <conditionalFormatting sqref="J9">
    <cfRule type="expression" dxfId="44" priority="15581" stopIfTrue="1">
      <formula>AND(J9&lt;&gt;"", J9 - A2 &lt;= 2)</formula>
    </cfRule>
  </conditionalFormatting>
  <conditionalFormatting sqref="K9">
    <cfRule type="expression" dxfId="43" priority="15582" stopIfTrue="1">
      <formula>AND(K9&lt;&gt;"", K9 - A2 &gt; 14)</formula>
    </cfRule>
  </conditionalFormatting>
  <conditionalFormatting sqref="K9">
    <cfRule type="expression" dxfId="42" priority="15583" stopIfTrue="1">
      <formula>AND(K9&lt;&gt;"", K9 - A2 &lt;= 14, K9 - A2 &gt; 7)</formula>
    </cfRule>
  </conditionalFormatting>
  <conditionalFormatting sqref="K9">
    <cfRule type="expression" dxfId="41" priority="15584" stopIfTrue="1">
      <formula>AND(K9&lt;&gt;"", K9 - A2 &lt;= 7, K9 - A2 &gt; 2)</formula>
    </cfRule>
  </conditionalFormatting>
  <conditionalFormatting sqref="K9">
    <cfRule type="expression" dxfId="40" priority="15585" stopIfTrue="1">
      <formula>AND(K9&lt;&gt;"", K9 - A2 &lt;= 2)</formula>
    </cfRule>
  </conditionalFormatting>
  <conditionalFormatting sqref="L9">
    <cfRule type="expression" dxfId="39" priority="15586" stopIfTrue="1">
      <formula>AND(L9&lt;&gt;"", L9 - A2 &gt; 14)</formula>
    </cfRule>
  </conditionalFormatting>
  <conditionalFormatting sqref="L9">
    <cfRule type="expression" dxfId="38" priority="15587" stopIfTrue="1">
      <formula>AND(L9&lt;&gt;"", L9 - A2 &lt;= 14, L9 - A2 &gt; 7)</formula>
    </cfRule>
  </conditionalFormatting>
  <conditionalFormatting sqref="L9">
    <cfRule type="expression" dxfId="37" priority="15588" stopIfTrue="1">
      <formula>AND(L9&lt;&gt;"", L9 - A2 &lt;= 7, L9 - A2 &gt; 2)</formula>
    </cfRule>
  </conditionalFormatting>
  <conditionalFormatting sqref="L9">
    <cfRule type="expression" dxfId="36" priority="15589" stopIfTrue="1">
      <formula>AND(L9&lt;&gt;"", L9 - A2 &lt;= 2)</formula>
    </cfRule>
  </conditionalFormatting>
  <conditionalFormatting sqref="M9">
    <cfRule type="expression" dxfId="35" priority="15590" stopIfTrue="1">
      <formula>AND(M9&lt;&gt;"", M9 - A2 &gt; 14)</formula>
    </cfRule>
  </conditionalFormatting>
  <conditionalFormatting sqref="M9">
    <cfRule type="expression" dxfId="34" priority="15591" stopIfTrue="1">
      <formula>AND(M9&lt;&gt;"", M9 - A2 &lt;= 14, M9 - A2 &gt; 7)</formula>
    </cfRule>
  </conditionalFormatting>
  <conditionalFormatting sqref="M9">
    <cfRule type="expression" dxfId="33" priority="15592" stopIfTrue="1">
      <formula>AND(M9&lt;&gt;"", M9 - A2 &lt;= 7, M9 - A2 &gt; 2)</formula>
    </cfRule>
  </conditionalFormatting>
  <conditionalFormatting sqref="M9">
    <cfRule type="expression" dxfId="32" priority="15593" stopIfTrue="1">
      <formula>AND(M9&lt;&gt;"", M9 - A2 &lt;= 2)</formula>
    </cfRule>
  </conditionalFormatting>
  <conditionalFormatting sqref="N9">
    <cfRule type="expression" dxfId="31" priority="15594" stopIfTrue="1">
      <formula>AND(N9&lt;&gt;"", N9 - A2 &gt; 14)</formula>
    </cfRule>
  </conditionalFormatting>
  <conditionalFormatting sqref="N9">
    <cfRule type="expression" dxfId="30" priority="15595" stopIfTrue="1">
      <formula>AND(N9&lt;&gt;"", N9 - A2 &lt;= 14, N9 - A2 &gt; 7)</formula>
    </cfRule>
  </conditionalFormatting>
  <conditionalFormatting sqref="N9">
    <cfRule type="expression" dxfId="29" priority="15596" stopIfTrue="1">
      <formula>AND(N9&lt;&gt;"", N9 - A2 &lt;= 7, N9 - A2 &gt; 2)</formula>
    </cfRule>
  </conditionalFormatting>
  <conditionalFormatting sqref="N9">
    <cfRule type="expression" dxfId="28" priority="15597" stopIfTrue="1">
      <formula>AND(N9&lt;&gt;"", N9 - A2 &lt;= 2)</formula>
    </cfRule>
  </conditionalFormatting>
  <conditionalFormatting sqref="O9">
    <cfRule type="expression" dxfId="27" priority="15598" stopIfTrue="1">
      <formula>AND(O9&lt;&gt;"", O9 - A2 &gt; 14)</formula>
    </cfRule>
  </conditionalFormatting>
  <conditionalFormatting sqref="O9">
    <cfRule type="expression" dxfId="26" priority="15599" stopIfTrue="1">
      <formula>AND(O9&lt;&gt;"", O9 - A2 &lt;= 14, O9 - A2 &gt; 7)</formula>
    </cfRule>
  </conditionalFormatting>
  <conditionalFormatting sqref="O9">
    <cfRule type="expression" dxfId="25" priority="15600" stopIfTrue="1">
      <formula>AND(O9&lt;&gt;"", O9 - A2 &lt;= 7, O9 - A2 &gt; 2)</formula>
    </cfRule>
  </conditionalFormatting>
  <conditionalFormatting sqref="O9">
    <cfRule type="expression" dxfId="24" priority="15601" stopIfTrue="1">
      <formula>AND(O9&lt;&gt;"", O9 - A2 &lt;= 2)</formula>
    </cfRule>
  </conditionalFormatting>
  <conditionalFormatting sqref="P9">
    <cfRule type="expression" dxfId="23" priority="15602" stopIfTrue="1">
      <formula>AND(P9&lt;&gt;"", P9 - A2 &gt; 14)</formula>
    </cfRule>
  </conditionalFormatting>
  <conditionalFormatting sqref="P9">
    <cfRule type="expression" dxfId="22" priority="15603" stopIfTrue="1">
      <formula>AND(P9&lt;&gt;"", P9 - A2 &lt;= 14, P9 - A2 &gt; 7)</formula>
    </cfRule>
  </conditionalFormatting>
  <conditionalFormatting sqref="P9">
    <cfRule type="expression" dxfId="21" priority="15604" stopIfTrue="1">
      <formula>AND(P9&lt;&gt;"", P9 - A2 &lt;= 7, P9 - A2 &gt; 2)</formula>
    </cfRule>
  </conditionalFormatting>
  <conditionalFormatting sqref="P9">
    <cfRule type="expression" dxfId="20" priority="15605" stopIfTrue="1">
      <formula>AND(P9&lt;&gt;"", P9 - A2 &lt;= 2)</formula>
    </cfRule>
  </conditionalFormatting>
  <conditionalFormatting sqref="Q9">
    <cfRule type="expression" dxfId="19" priority="15606" stopIfTrue="1">
      <formula>AND(Q9&lt;&gt;"", Q9 - A2 &gt; 14)</formula>
    </cfRule>
  </conditionalFormatting>
  <conditionalFormatting sqref="Q9">
    <cfRule type="expression" dxfId="18" priority="15607" stopIfTrue="1">
      <formula>AND(Q9&lt;&gt;"", Q9 - A2 &lt;= 14, Q9 - A2 &gt; 7)</formula>
    </cfRule>
  </conditionalFormatting>
  <conditionalFormatting sqref="Q9">
    <cfRule type="expression" dxfId="17" priority="15608" stopIfTrue="1">
      <formula>AND(Q9&lt;&gt;"", Q9 - A2 &lt;= 7, Q9 - A2 &gt; 2)</formula>
    </cfRule>
  </conditionalFormatting>
  <conditionalFormatting sqref="Q9">
    <cfRule type="expression" dxfId="16" priority="15609" stopIfTrue="1">
      <formula>AND(Q9&lt;&gt;"", Q9 - A2 &lt;= 2)</formula>
    </cfRule>
  </conditionalFormatting>
  <conditionalFormatting sqref="R9">
    <cfRule type="expression" dxfId="15" priority="15610" stopIfTrue="1">
      <formula>AND(R9&lt;&gt;"", R9 - A2 &gt; 14)</formula>
    </cfRule>
  </conditionalFormatting>
  <conditionalFormatting sqref="R9">
    <cfRule type="expression" dxfId="14" priority="15611" stopIfTrue="1">
      <formula>AND(R9&lt;&gt;"", R9 - A2 &lt;= 14, R9 - A2 &gt; 7)</formula>
    </cfRule>
  </conditionalFormatting>
  <conditionalFormatting sqref="R9">
    <cfRule type="expression" dxfId="13" priority="15612" stopIfTrue="1">
      <formula>AND(R9&lt;&gt;"", R9 - A2 &lt;= 7, R9 - A2 &gt; 2)</formula>
    </cfRule>
  </conditionalFormatting>
  <conditionalFormatting sqref="R9">
    <cfRule type="expression" dxfId="12" priority="15613" stopIfTrue="1">
      <formula>AND(R9&lt;&gt;"", R9 - A2 &lt;= 2)</formula>
    </cfRule>
  </conditionalFormatting>
  <conditionalFormatting sqref="S9">
    <cfRule type="expression" dxfId="11" priority="15614" stopIfTrue="1">
      <formula>AND(S9&lt;&gt;"", S9 - A2 &gt; 14)</formula>
    </cfRule>
  </conditionalFormatting>
  <conditionalFormatting sqref="S9">
    <cfRule type="expression" dxfId="10" priority="15615" stopIfTrue="1">
      <formula>AND(S9&lt;&gt;"", S9 - A2 &lt;= 14, S9 - A2 &gt; 7)</formula>
    </cfRule>
  </conditionalFormatting>
  <conditionalFormatting sqref="S9">
    <cfRule type="expression" dxfId="9" priority="15616" stopIfTrue="1">
      <formula>AND(S9&lt;&gt;"", S9 - A2 &lt;= 7, S9 - A2 &gt; 2)</formula>
    </cfRule>
  </conditionalFormatting>
  <conditionalFormatting sqref="S9">
    <cfRule type="expression" dxfId="8" priority="15617" stopIfTrue="1">
      <formula>AND(S9&lt;&gt;"", S9 - A2 &lt;= 2)</formula>
    </cfRule>
  </conditionalFormatting>
  <conditionalFormatting sqref="T9">
    <cfRule type="expression" dxfId="7" priority="15618" stopIfTrue="1">
      <formula>AND(T9&lt;&gt;"", T9 - A2 &gt; 14)</formula>
    </cfRule>
  </conditionalFormatting>
  <conditionalFormatting sqref="T9">
    <cfRule type="expression" dxfId="6" priority="15619" stopIfTrue="1">
      <formula>AND(T9&lt;&gt;"", T9 - A2 &lt;= 14, T9 - A2 &gt; 7)</formula>
    </cfRule>
  </conditionalFormatting>
  <conditionalFormatting sqref="T9">
    <cfRule type="expression" dxfId="5" priority="15620" stopIfTrue="1">
      <formula>AND(T9&lt;&gt;"", T9 - A2 &lt;= 7, T9 - A2 &gt; 2)</formula>
    </cfRule>
  </conditionalFormatting>
  <conditionalFormatting sqref="T9">
    <cfRule type="expression" dxfId="4" priority="15621" stopIfTrue="1">
      <formula>AND(T9&lt;&gt;"", T9 - A2 &lt;= 2)</formula>
    </cfRule>
  </conditionalFormatting>
  <conditionalFormatting sqref="U9">
    <cfRule type="expression" dxfId="3" priority="15622" stopIfTrue="1">
      <formula>AND(U9&lt;&gt;"", U9 - A2 &gt; 14)</formula>
    </cfRule>
  </conditionalFormatting>
  <conditionalFormatting sqref="U9">
    <cfRule type="expression" dxfId="2" priority="15623" stopIfTrue="1">
      <formula>AND(U9&lt;&gt;"", U9 - A2 &lt;= 14, U9 - A2 &gt; 7)</formula>
    </cfRule>
  </conditionalFormatting>
  <conditionalFormatting sqref="U9">
    <cfRule type="expression" dxfId="1" priority="15624" stopIfTrue="1">
      <formula>AND(U9&lt;&gt;"", U9 - A2 &lt;= 7, U9 - A2 &gt; 2)</formula>
    </cfRule>
  </conditionalFormatting>
  <conditionalFormatting sqref="U9">
    <cfRule type="expression" dxfId="0" priority="15625" stopIfTrue="1">
      <formula>AND(U9&lt;&gt;"", U9 - A2 &lt;= 2)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98264-DEB5-4B6B-87F5-62F119368F02}">
  <sheetPr codeName="Sheet3"/>
  <dimension ref="A1:U10"/>
  <sheetViews>
    <sheetView topLeftCell="A3" workbookViewId="0">
      <selection activeCell="B18" sqref="B18"/>
    </sheetView>
  </sheetViews>
  <sheetFormatPr defaultRowHeight="15" x14ac:dyDescent="0.25"/>
  <cols>
    <col min="1" max="1" width="12" bestFit="1" customWidth="1"/>
    <col min="2" max="2" width="49.5703125" bestFit="1" customWidth="1"/>
    <col min="3" max="3" width="28.7109375" bestFit="1" customWidth="1"/>
    <col min="4" max="4" width="9.7109375" bestFit="1" customWidth="1"/>
    <col min="5" max="5" width="10.85546875" bestFit="1" customWidth="1"/>
    <col min="6" max="6" width="11.85546875" bestFit="1" customWidth="1"/>
    <col min="7" max="7" width="12.140625" bestFit="1" customWidth="1"/>
    <col min="8" max="8" width="10.42578125" bestFit="1" customWidth="1"/>
    <col min="9" max="9" width="17.28515625" bestFit="1" customWidth="1"/>
    <col min="10" max="10" width="14.42578125" bestFit="1" customWidth="1"/>
    <col min="11" max="11" width="13.5703125" bestFit="1" customWidth="1"/>
    <col min="12" max="13" width="14.28515625" bestFit="1" customWidth="1"/>
    <col min="14" max="14" width="13.5703125" bestFit="1" customWidth="1"/>
    <col min="15" max="15" width="14.28515625" bestFit="1" customWidth="1"/>
    <col min="16" max="16" width="14" bestFit="1" customWidth="1"/>
    <col min="17" max="17" width="12.42578125" bestFit="1" customWidth="1"/>
    <col min="18" max="18" width="13.7109375" bestFit="1" customWidth="1"/>
    <col min="19" max="19" width="14.42578125" bestFit="1" customWidth="1"/>
    <col min="20" max="20" width="14.140625" bestFit="1" customWidth="1"/>
    <col min="21" max="21" width="15.85546875" bestFit="1" customWidth="1"/>
  </cols>
  <sheetData>
    <row r="1" spans="1:21" s="1" customFormat="1" ht="15.75" customHeight="1" x14ac:dyDescent="0.2">
      <c r="A1" s="23" t="s">
        <v>7</v>
      </c>
      <c r="B1" s="34" t="s">
        <v>72</v>
      </c>
      <c r="C1" s="35"/>
      <c r="D1" s="35"/>
      <c r="E1" s="35"/>
      <c r="F1" s="35"/>
      <c r="G1" s="35"/>
      <c r="H1" s="35"/>
      <c r="I1" s="3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21" s="1" customFormat="1" ht="15" customHeight="1" x14ac:dyDescent="0.2">
      <c r="A2" s="43">
        <f ca="1" xml:space="preserve"> TODAY()</f>
        <v>45429</v>
      </c>
      <c r="B2" s="37"/>
      <c r="C2" s="38"/>
      <c r="D2" s="38"/>
      <c r="E2" s="38"/>
      <c r="F2" s="38"/>
      <c r="G2" s="38"/>
      <c r="H2" s="38"/>
      <c r="I2" s="39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9"/>
    </row>
    <row r="3" spans="1:21" s="1" customFormat="1" ht="15" customHeight="1" thickBot="1" x14ac:dyDescent="0.25">
      <c r="A3" s="44"/>
      <c r="B3" s="40"/>
      <c r="C3" s="41"/>
      <c r="D3" s="41"/>
      <c r="E3" s="41"/>
      <c r="F3" s="41"/>
      <c r="G3" s="41"/>
      <c r="H3" s="41"/>
      <c r="I3" s="42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1"/>
    </row>
    <row r="4" spans="1:21" s="19" customFormat="1" ht="18" x14ac:dyDescent="0.25">
      <c r="A4" s="45" t="s">
        <v>66</v>
      </c>
      <c r="B4" s="45"/>
      <c r="C4" s="45"/>
      <c r="D4" s="45"/>
      <c r="E4" s="45"/>
      <c r="F4" s="45"/>
      <c r="G4" s="45"/>
      <c r="H4" s="45"/>
      <c r="I4" s="45"/>
      <c r="J4" s="17" t="s">
        <v>50</v>
      </c>
      <c r="K4" s="18" t="s">
        <v>49</v>
      </c>
      <c r="L4" s="18" t="s">
        <v>48</v>
      </c>
      <c r="M4" s="18" t="s">
        <v>47</v>
      </c>
      <c r="N4" s="18" t="s">
        <v>46</v>
      </c>
      <c r="O4" s="18" t="s">
        <v>45</v>
      </c>
      <c r="P4" s="18" t="s">
        <v>44</v>
      </c>
      <c r="Q4" s="18" t="s">
        <v>43</v>
      </c>
      <c r="R4" s="18" t="s">
        <v>42</v>
      </c>
      <c r="S4" s="18" t="s">
        <v>41</v>
      </c>
      <c r="T4" s="18" t="s">
        <v>40</v>
      </c>
      <c r="U4" s="18" t="s">
        <v>51</v>
      </c>
    </row>
    <row r="5" spans="1:21" s="22" customFormat="1" ht="99.75" x14ac:dyDescent="0.25">
      <c r="A5" s="20" t="s">
        <v>67</v>
      </c>
      <c r="B5" s="21" t="s">
        <v>60</v>
      </c>
      <c r="C5" s="22" t="s">
        <v>1</v>
      </c>
      <c r="D5" s="22" t="s">
        <v>0</v>
      </c>
      <c r="E5" s="22" t="s">
        <v>61</v>
      </c>
      <c r="F5" s="22" t="s">
        <v>62</v>
      </c>
      <c r="G5" s="22" t="s">
        <v>63</v>
      </c>
      <c r="H5" s="22" t="s">
        <v>64</v>
      </c>
      <c r="I5" s="22" t="s">
        <v>65</v>
      </c>
      <c r="J5" s="22" t="s">
        <v>39</v>
      </c>
      <c r="K5" s="22" t="s">
        <v>38</v>
      </c>
      <c r="L5" s="22" t="s">
        <v>37</v>
      </c>
      <c r="M5" s="22" t="s">
        <v>36</v>
      </c>
      <c r="N5" s="22" t="s">
        <v>35</v>
      </c>
      <c r="O5" s="22" t="s">
        <v>34</v>
      </c>
      <c r="P5" s="22" t="s">
        <v>33</v>
      </c>
      <c r="Q5" s="22" t="s">
        <v>32</v>
      </c>
      <c r="R5" s="22" t="s">
        <v>31</v>
      </c>
      <c r="S5" s="22" t="s">
        <v>30</v>
      </c>
      <c r="T5" s="22" t="s">
        <v>29</v>
      </c>
      <c r="U5" s="22" t="s">
        <v>28</v>
      </c>
    </row>
    <row r="6" spans="1:21" x14ac:dyDescent="0.25">
      <c r="A6" t="s">
        <v>15</v>
      </c>
      <c r="B6" t="s">
        <v>52</v>
      </c>
      <c r="C6" t="s">
        <v>4</v>
      </c>
      <c r="D6" s="25">
        <v>44329</v>
      </c>
      <c r="E6" s="25">
        <v>44329</v>
      </c>
      <c r="F6">
        <v>-1100</v>
      </c>
      <c r="G6" t="s">
        <v>22</v>
      </c>
      <c r="H6" t="s">
        <v>21</v>
      </c>
      <c r="I6" t="s">
        <v>25</v>
      </c>
      <c r="J6" s="25">
        <v>44245</v>
      </c>
      <c r="K6" s="25">
        <v>44252</v>
      </c>
      <c r="L6" s="25">
        <v>44259</v>
      </c>
      <c r="M6" s="25">
        <v>44266</v>
      </c>
      <c r="N6" s="25">
        <v>44273</v>
      </c>
      <c r="O6" s="25">
        <v>44280</v>
      </c>
      <c r="P6" s="25">
        <v>44287</v>
      </c>
      <c r="Q6" s="25">
        <v>44294</v>
      </c>
      <c r="R6" s="25">
        <v>44301</v>
      </c>
      <c r="S6" s="25">
        <v>44308</v>
      </c>
      <c r="T6" s="25">
        <v>44315</v>
      </c>
    </row>
    <row r="7" spans="1:21" x14ac:dyDescent="0.25">
      <c r="A7" t="s">
        <v>17</v>
      </c>
      <c r="B7" t="s">
        <v>56</v>
      </c>
      <c r="C7" t="s">
        <v>8</v>
      </c>
      <c r="D7" s="25">
        <v>45310</v>
      </c>
      <c r="E7" s="25">
        <v>45310</v>
      </c>
      <c r="F7">
        <v>-119</v>
      </c>
      <c r="G7" t="s">
        <v>22</v>
      </c>
      <c r="H7" t="s">
        <v>21</v>
      </c>
      <c r="I7" t="s">
        <v>25</v>
      </c>
      <c r="J7" s="25">
        <v>45226</v>
      </c>
      <c r="K7" s="25">
        <v>45233</v>
      </c>
      <c r="L7" s="25">
        <v>45240</v>
      </c>
      <c r="M7" s="25">
        <v>45247</v>
      </c>
      <c r="N7" s="25">
        <v>45254</v>
      </c>
      <c r="O7" s="25">
        <v>45261</v>
      </c>
      <c r="P7" s="25">
        <v>45268</v>
      </c>
      <c r="Q7" s="25">
        <v>45275</v>
      </c>
      <c r="R7" s="25">
        <v>45282</v>
      </c>
      <c r="S7" s="25">
        <v>45289</v>
      </c>
      <c r="T7" s="25">
        <v>45296</v>
      </c>
    </row>
    <row r="8" spans="1:21" x14ac:dyDescent="0.25">
      <c r="A8" t="s">
        <v>14</v>
      </c>
      <c r="B8" t="s">
        <v>55</v>
      </c>
      <c r="C8" t="s">
        <v>3</v>
      </c>
      <c r="D8" s="25">
        <v>45373</v>
      </c>
      <c r="E8" s="25">
        <v>45371</v>
      </c>
      <c r="F8">
        <v>-56</v>
      </c>
      <c r="G8" t="s">
        <v>22</v>
      </c>
      <c r="H8" t="s">
        <v>21</v>
      </c>
      <c r="I8" t="s">
        <v>27</v>
      </c>
      <c r="J8" s="25">
        <v>45287</v>
      </c>
      <c r="K8" s="25">
        <v>45294</v>
      </c>
      <c r="L8" s="25">
        <v>45301</v>
      </c>
      <c r="M8" s="25">
        <v>45308</v>
      </c>
      <c r="N8" s="25">
        <v>45315</v>
      </c>
      <c r="O8" s="25">
        <v>45322</v>
      </c>
      <c r="P8" s="25">
        <v>45329</v>
      </c>
      <c r="Q8" s="25">
        <v>45336</v>
      </c>
      <c r="R8" s="25">
        <v>45343</v>
      </c>
      <c r="S8" s="25">
        <v>45350</v>
      </c>
      <c r="T8" s="25">
        <v>45357</v>
      </c>
    </row>
    <row r="9" spans="1:21" x14ac:dyDescent="0.25">
      <c r="A9" t="s">
        <v>19</v>
      </c>
      <c r="B9" t="s">
        <v>54</v>
      </c>
      <c r="C9" t="s">
        <v>11</v>
      </c>
      <c r="D9" s="25">
        <v>45401</v>
      </c>
      <c r="E9" s="25">
        <v>45401</v>
      </c>
      <c r="F9">
        <v>-28</v>
      </c>
      <c r="G9" t="s">
        <v>22</v>
      </c>
      <c r="H9" t="s">
        <v>21</v>
      </c>
      <c r="I9" t="s">
        <v>27</v>
      </c>
      <c r="J9" s="25">
        <v>45317</v>
      </c>
      <c r="K9" s="25">
        <v>45324</v>
      </c>
      <c r="L9" s="25">
        <v>45331</v>
      </c>
      <c r="M9" s="25">
        <v>45338</v>
      </c>
      <c r="N9" s="25">
        <v>45345</v>
      </c>
      <c r="O9" s="25">
        <v>45352</v>
      </c>
      <c r="P9" s="25">
        <v>45359</v>
      </c>
      <c r="Q9" s="25">
        <v>45366</v>
      </c>
      <c r="R9" s="25">
        <v>45373</v>
      </c>
      <c r="S9" s="25">
        <v>45380</v>
      </c>
      <c r="T9" s="25">
        <v>45387</v>
      </c>
    </row>
    <row r="10" spans="1:21" x14ac:dyDescent="0.25">
      <c r="A10" t="s">
        <v>16</v>
      </c>
      <c r="B10" t="s">
        <v>58</v>
      </c>
      <c r="C10" t="s">
        <v>5</v>
      </c>
      <c r="D10" s="25">
        <v>45411</v>
      </c>
      <c r="E10" s="25">
        <v>45415</v>
      </c>
      <c r="F10">
        <v>-18</v>
      </c>
      <c r="G10" t="s">
        <v>22</v>
      </c>
      <c r="H10" t="s">
        <v>21</v>
      </c>
      <c r="I10" t="s">
        <v>27</v>
      </c>
      <c r="J10" s="25">
        <v>45331</v>
      </c>
      <c r="K10" s="25">
        <v>45338</v>
      </c>
      <c r="L10" s="25">
        <v>45345</v>
      </c>
      <c r="M10" s="25">
        <v>45352</v>
      </c>
      <c r="N10" s="25">
        <v>45359</v>
      </c>
      <c r="O10" s="25">
        <v>45366</v>
      </c>
      <c r="P10" s="25">
        <v>45373</v>
      </c>
      <c r="Q10" s="25">
        <v>45380</v>
      </c>
      <c r="R10" s="25">
        <v>45387</v>
      </c>
      <c r="S10" s="25">
        <v>45394</v>
      </c>
      <c r="T10" s="25">
        <v>45401</v>
      </c>
    </row>
  </sheetData>
  <mergeCells count="4">
    <mergeCell ref="B1:I3"/>
    <mergeCell ref="J1:U3"/>
    <mergeCell ref="A2:A3"/>
    <mergeCell ref="A4:I4"/>
  </mergeCells>
  <conditionalFormatting sqref="J2">
    <cfRule type="expression" dxfId="981" priority="97" stopIfTrue="1">
      <formula>AND(J2&lt;&gt;"", J2 - A2 &gt; 14)</formula>
    </cfRule>
  </conditionalFormatting>
  <conditionalFormatting sqref="J2">
    <cfRule type="expression" dxfId="980" priority="98" stopIfTrue="1">
      <formula>AND(J2&lt;&gt;"", J2 - A2 &lt;= 14, J2 - A2 &gt; 7)</formula>
    </cfRule>
  </conditionalFormatting>
  <conditionalFormatting sqref="J2">
    <cfRule type="expression" dxfId="979" priority="99" stopIfTrue="1">
      <formula>AND(J2&lt;&gt;"", J2 - A2 &lt;= 7, J2 - A2 &gt; 2)</formula>
    </cfRule>
  </conditionalFormatting>
  <conditionalFormatting sqref="J2">
    <cfRule type="expression" dxfId="978" priority="100" stopIfTrue="1">
      <formula>AND(J2&lt;&gt;"", J2 - A2 &lt;= 2)</formula>
    </cfRule>
  </conditionalFormatting>
  <conditionalFormatting sqref="K2">
    <cfRule type="expression" dxfId="977" priority="101" stopIfTrue="1">
      <formula>AND(K2&lt;&gt;"", K2 - A2 &gt; 14)</formula>
    </cfRule>
  </conditionalFormatting>
  <conditionalFormatting sqref="K2">
    <cfRule type="expression" dxfId="976" priority="102" stopIfTrue="1">
      <formula>AND(K2&lt;&gt;"", K2 - A2 &lt;= 14, K2 - A2 &gt; 7)</formula>
    </cfRule>
  </conditionalFormatting>
  <conditionalFormatting sqref="K2">
    <cfRule type="expression" dxfId="975" priority="103" stopIfTrue="1">
      <formula>AND(K2&lt;&gt;"", K2 - A2 &lt;= 7, K2 - A2 &gt; 2)</formula>
    </cfRule>
  </conditionalFormatting>
  <conditionalFormatting sqref="K2">
    <cfRule type="expression" dxfId="974" priority="104" stopIfTrue="1">
      <formula>AND(K2&lt;&gt;"", K2 - A2 &lt;= 2)</formula>
    </cfRule>
  </conditionalFormatting>
  <conditionalFormatting sqref="L2">
    <cfRule type="expression" dxfId="973" priority="105" stopIfTrue="1">
      <formula>AND(L2&lt;&gt;"", L2 - A2 &gt; 14)</formula>
    </cfRule>
  </conditionalFormatting>
  <conditionalFormatting sqref="L2">
    <cfRule type="expression" dxfId="972" priority="106" stopIfTrue="1">
      <formula>AND(L2&lt;&gt;"", L2 - A2 &lt;= 14, L2 - A2 &gt; 7)</formula>
    </cfRule>
  </conditionalFormatting>
  <conditionalFormatting sqref="L2">
    <cfRule type="expression" dxfId="971" priority="107" stopIfTrue="1">
      <formula>AND(L2&lt;&gt;"", L2 - A2 &lt;= 7, L2 - A2 &gt; 2)</formula>
    </cfRule>
  </conditionalFormatting>
  <conditionalFormatting sqref="L2">
    <cfRule type="expression" dxfId="970" priority="108" stopIfTrue="1">
      <formula>AND(L2&lt;&gt;"", L2 - A2 &lt;= 2)</formula>
    </cfRule>
  </conditionalFormatting>
  <conditionalFormatting sqref="M2">
    <cfRule type="expression" dxfId="969" priority="109" stopIfTrue="1">
      <formula>AND(M2&lt;&gt;"", M2 - A2 &gt; 14)</formula>
    </cfRule>
  </conditionalFormatting>
  <conditionalFormatting sqref="M2">
    <cfRule type="expression" dxfId="968" priority="110" stopIfTrue="1">
      <formula>AND(M2&lt;&gt;"", M2 - A2 &lt;= 14, M2 - A2 &gt; 7)</formula>
    </cfRule>
  </conditionalFormatting>
  <conditionalFormatting sqref="M2">
    <cfRule type="expression" dxfId="967" priority="111" stopIfTrue="1">
      <formula>AND(M2&lt;&gt;"", M2 - A2 &lt;= 7, M2 - A2 &gt; 2)</formula>
    </cfRule>
  </conditionalFormatting>
  <conditionalFormatting sqref="M2">
    <cfRule type="expression" dxfId="966" priority="112" stopIfTrue="1">
      <formula>AND(M2&lt;&gt;"", M2 - A2 &lt;= 2)</formula>
    </cfRule>
  </conditionalFormatting>
  <conditionalFormatting sqref="N2">
    <cfRule type="expression" dxfId="965" priority="113" stopIfTrue="1">
      <formula>AND(N2&lt;&gt;"", N2 - A2 &gt; 14)</formula>
    </cfRule>
  </conditionalFormatting>
  <conditionalFormatting sqref="N2">
    <cfRule type="expression" dxfId="964" priority="114" stopIfTrue="1">
      <formula>AND(N2&lt;&gt;"", N2 - A2 &lt;= 14, N2 - A2 &gt; 7)</formula>
    </cfRule>
  </conditionalFormatting>
  <conditionalFormatting sqref="N2">
    <cfRule type="expression" dxfId="963" priority="115" stopIfTrue="1">
      <formula>AND(N2&lt;&gt;"", N2 - A2 &lt;= 7, N2 - A2 &gt; 2)</formula>
    </cfRule>
  </conditionalFormatting>
  <conditionalFormatting sqref="N2">
    <cfRule type="expression" dxfId="962" priority="116" stopIfTrue="1">
      <formula>AND(N2&lt;&gt;"", N2 - A2 &lt;= 2)</formula>
    </cfRule>
  </conditionalFormatting>
  <conditionalFormatting sqref="O2">
    <cfRule type="expression" dxfId="961" priority="117" stopIfTrue="1">
      <formula>AND(O2&lt;&gt;"", O2 - A2 &gt; 14)</formula>
    </cfRule>
  </conditionalFormatting>
  <conditionalFormatting sqref="O2">
    <cfRule type="expression" dxfId="960" priority="118" stopIfTrue="1">
      <formula>AND(O2&lt;&gt;"", O2 - A2 &lt;= 14, O2 - A2 &gt; 7)</formula>
    </cfRule>
  </conditionalFormatting>
  <conditionalFormatting sqref="O2">
    <cfRule type="expression" dxfId="959" priority="119" stopIfTrue="1">
      <formula>AND(O2&lt;&gt;"", O2 - A2 &lt;= 7, O2 - A2 &gt; 2)</formula>
    </cfRule>
  </conditionalFormatting>
  <conditionalFormatting sqref="O2">
    <cfRule type="expression" dxfId="958" priority="120" stopIfTrue="1">
      <formula>AND(O2&lt;&gt;"", O2 - A2 &lt;= 2)</formula>
    </cfRule>
  </conditionalFormatting>
  <conditionalFormatting sqref="P2">
    <cfRule type="expression" dxfId="957" priority="121" stopIfTrue="1">
      <formula>AND(P2&lt;&gt;"", P2 - A2 &gt; 14)</formula>
    </cfRule>
  </conditionalFormatting>
  <conditionalFormatting sqref="P2">
    <cfRule type="expression" dxfId="956" priority="122" stopIfTrue="1">
      <formula>AND(P2&lt;&gt;"", P2 - A2 &lt;= 14, P2 - A2 &gt; 7)</formula>
    </cfRule>
  </conditionalFormatting>
  <conditionalFormatting sqref="P2">
    <cfRule type="expression" dxfId="955" priority="123" stopIfTrue="1">
      <formula>AND(P2&lt;&gt;"", P2 - A2 &lt;= 7, P2 - A2 &gt; 2)</formula>
    </cfRule>
  </conditionalFormatting>
  <conditionalFormatting sqref="P2">
    <cfRule type="expression" dxfId="954" priority="124" stopIfTrue="1">
      <formula>AND(P2&lt;&gt;"", P2 - A2 &lt;= 2)</formula>
    </cfRule>
  </conditionalFormatting>
  <conditionalFormatting sqref="Q2">
    <cfRule type="expression" dxfId="953" priority="125" stopIfTrue="1">
      <formula>AND(Q2&lt;&gt;"", Q2 - A2 &gt; 14)</formula>
    </cfRule>
  </conditionalFormatting>
  <conditionalFormatting sqref="Q2">
    <cfRule type="expression" dxfId="952" priority="126" stopIfTrue="1">
      <formula>AND(Q2&lt;&gt;"", Q2 - A2 &lt;= 14, Q2 - A2 &gt; 7)</formula>
    </cfRule>
  </conditionalFormatting>
  <conditionalFormatting sqref="Q2">
    <cfRule type="expression" dxfId="951" priority="127" stopIfTrue="1">
      <formula>AND(Q2&lt;&gt;"", Q2 - A2 &lt;= 7, Q2 - A2 &gt; 2)</formula>
    </cfRule>
  </conditionalFormatting>
  <conditionalFormatting sqref="Q2">
    <cfRule type="expression" dxfId="950" priority="128" stopIfTrue="1">
      <formula>AND(Q2&lt;&gt;"", Q2 - A2 &lt;= 2)</formula>
    </cfRule>
  </conditionalFormatting>
  <conditionalFormatting sqref="R2">
    <cfRule type="expression" dxfId="949" priority="129" stopIfTrue="1">
      <formula>AND(R2&lt;&gt;"", R2 - A2 &gt; 14)</formula>
    </cfRule>
  </conditionalFormatting>
  <conditionalFormatting sqref="R2">
    <cfRule type="expression" dxfId="948" priority="130" stopIfTrue="1">
      <formula>AND(R2&lt;&gt;"", R2 - A2 &lt;= 14, R2 - A2 &gt; 7)</formula>
    </cfRule>
  </conditionalFormatting>
  <conditionalFormatting sqref="R2">
    <cfRule type="expression" dxfId="947" priority="131" stopIfTrue="1">
      <formula>AND(R2&lt;&gt;"", R2 - A2 &lt;= 7, R2 - A2 &gt; 2)</formula>
    </cfRule>
  </conditionalFormatting>
  <conditionalFormatting sqref="R2">
    <cfRule type="expression" dxfId="946" priority="132" stopIfTrue="1">
      <formula>AND(R2&lt;&gt;"", R2 - A2 &lt;= 2)</formula>
    </cfRule>
  </conditionalFormatting>
  <conditionalFormatting sqref="S2">
    <cfRule type="expression" dxfId="945" priority="133" stopIfTrue="1">
      <formula>AND(S2&lt;&gt;"", S2 - A2 &gt; 14)</formula>
    </cfRule>
  </conditionalFormatting>
  <conditionalFormatting sqref="S2">
    <cfRule type="expression" dxfId="944" priority="134" stopIfTrue="1">
      <formula>AND(S2&lt;&gt;"", S2 - A2 &lt;= 14, S2 - A2 &gt; 7)</formula>
    </cfRule>
  </conditionalFormatting>
  <conditionalFormatting sqref="S2">
    <cfRule type="expression" dxfId="943" priority="135" stopIfTrue="1">
      <formula>AND(S2&lt;&gt;"", S2 - A2 &lt;= 7, S2 - A2 &gt; 2)</formula>
    </cfRule>
  </conditionalFormatting>
  <conditionalFormatting sqref="S2">
    <cfRule type="expression" dxfId="942" priority="136" stopIfTrue="1">
      <formula>AND(S2&lt;&gt;"", S2 - A2 &lt;= 2)</formula>
    </cfRule>
  </conditionalFormatting>
  <conditionalFormatting sqref="T2">
    <cfRule type="expression" dxfId="941" priority="137" stopIfTrue="1">
      <formula>AND(T2&lt;&gt;"", T2 - A2 &gt; 14)</formula>
    </cfRule>
  </conditionalFormatting>
  <conditionalFormatting sqref="T2">
    <cfRule type="expression" dxfId="940" priority="138" stopIfTrue="1">
      <formula>AND(T2&lt;&gt;"", T2 - A2 &lt;= 14, T2 - A2 &gt; 7)</formula>
    </cfRule>
  </conditionalFormatting>
  <conditionalFormatting sqref="T2">
    <cfRule type="expression" dxfId="939" priority="139" stopIfTrue="1">
      <formula>AND(T2&lt;&gt;"", T2 - A2 &lt;= 7, T2 - A2 &gt; 2)</formula>
    </cfRule>
  </conditionalFormatting>
  <conditionalFormatting sqref="T2">
    <cfRule type="expression" dxfId="938" priority="140" stopIfTrue="1">
      <formula>AND(T2&lt;&gt;"", T2 - A2 &lt;= 2)</formula>
    </cfRule>
  </conditionalFormatting>
  <conditionalFormatting sqref="U2">
    <cfRule type="expression" dxfId="937" priority="141" stopIfTrue="1">
      <formula>AND(U2&lt;&gt;"", U2 - A2 &gt; 14)</formula>
    </cfRule>
  </conditionalFormatting>
  <conditionalFormatting sqref="U2">
    <cfRule type="expression" dxfId="936" priority="142" stopIfTrue="1">
      <formula>AND(U2&lt;&gt;"", U2 - A2 &lt;= 14, U2 - A2 &gt; 7)</formula>
    </cfRule>
  </conditionalFormatting>
  <conditionalFormatting sqref="U2">
    <cfRule type="expression" dxfId="935" priority="143" stopIfTrue="1">
      <formula>AND(U2&lt;&gt;"", U2 - A2 &lt;= 7, U2 - A2 &gt; 2)</formula>
    </cfRule>
  </conditionalFormatting>
  <conditionalFormatting sqref="U2">
    <cfRule type="expression" dxfId="934" priority="144" stopIfTrue="1">
      <formula>AND(U2&lt;&gt;"", U2 - A2 &lt;= 2)</formula>
    </cfRule>
  </conditionalFormatting>
  <conditionalFormatting sqref="J3">
    <cfRule type="expression" dxfId="933" priority="145" stopIfTrue="1">
      <formula>AND(J3&lt;&gt;"", J3 - A2 &gt; 14)</formula>
    </cfRule>
  </conditionalFormatting>
  <conditionalFormatting sqref="J3">
    <cfRule type="expression" dxfId="932" priority="146" stopIfTrue="1">
      <formula>AND(J3&lt;&gt;"", J3 - A2 &lt;= 14, J3 - A2 &gt; 7)</formula>
    </cfRule>
  </conditionalFormatting>
  <conditionalFormatting sqref="J3">
    <cfRule type="expression" dxfId="931" priority="147" stopIfTrue="1">
      <formula>AND(J3&lt;&gt;"", J3 - A2 &lt;= 7, J3 - A2 &gt; 2)</formula>
    </cfRule>
  </conditionalFormatting>
  <conditionalFormatting sqref="J3">
    <cfRule type="expression" dxfId="930" priority="148" stopIfTrue="1">
      <formula>AND(J3&lt;&gt;"", J3 - A2 &lt;= 2)</formula>
    </cfRule>
  </conditionalFormatting>
  <conditionalFormatting sqref="K3">
    <cfRule type="expression" dxfId="929" priority="149" stopIfTrue="1">
      <formula>AND(K3&lt;&gt;"", K3 - A2 &gt; 14)</formula>
    </cfRule>
  </conditionalFormatting>
  <conditionalFormatting sqref="K3">
    <cfRule type="expression" dxfId="928" priority="150" stopIfTrue="1">
      <formula>AND(K3&lt;&gt;"", K3 - A2 &lt;= 14, K3 - A2 &gt; 7)</formula>
    </cfRule>
  </conditionalFormatting>
  <conditionalFormatting sqref="K3">
    <cfRule type="expression" dxfId="927" priority="151" stopIfTrue="1">
      <formula>AND(K3&lt;&gt;"", K3 - A2 &lt;= 7, K3 - A2 &gt; 2)</formula>
    </cfRule>
  </conditionalFormatting>
  <conditionalFormatting sqref="K3">
    <cfRule type="expression" dxfId="926" priority="152" stopIfTrue="1">
      <formula>AND(K3&lt;&gt;"", K3 - A2 &lt;= 2)</formula>
    </cfRule>
  </conditionalFormatting>
  <conditionalFormatting sqref="L3">
    <cfRule type="expression" dxfId="925" priority="153" stopIfTrue="1">
      <formula>AND(L3&lt;&gt;"", L3 - A2 &gt; 14)</formula>
    </cfRule>
  </conditionalFormatting>
  <conditionalFormatting sqref="L3">
    <cfRule type="expression" dxfId="924" priority="154" stopIfTrue="1">
      <formula>AND(L3&lt;&gt;"", L3 - A2 &lt;= 14, L3 - A2 &gt; 7)</formula>
    </cfRule>
  </conditionalFormatting>
  <conditionalFormatting sqref="L3">
    <cfRule type="expression" dxfId="923" priority="155" stopIfTrue="1">
      <formula>AND(L3&lt;&gt;"", L3 - A2 &lt;= 7, L3 - A2 &gt; 2)</formula>
    </cfRule>
  </conditionalFormatting>
  <conditionalFormatting sqref="L3">
    <cfRule type="expression" dxfId="922" priority="156" stopIfTrue="1">
      <formula>AND(L3&lt;&gt;"", L3 - A2 &lt;= 2)</formula>
    </cfRule>
  </conditionalFormatting>
  <conditionalFormatting sqref="M3">
    <cfRule type="expression" dxfId="921" priority="157" stopIfTrue="1">
      <formula>AND(M3&lt;&gt;"", M3 - A2 &gt; 14)</formula>
    </cfRule>
  </conditionalFormatting>
  <conditionalFormatting sqref="M3">
    <cfRule type="expression" dxfId="920" priority="158" stopIfTrue="1">
      <formula>AND(M3&lt;&gt;"", M3 - A2 &lt;= 14, M3 - A2 &gt; 7)</formula>
    </cfRule>
  </conditionalFormatting>
  <conditionalFormatting sqref="M3">
    <cfRule type="expression" dxfId="919" priority="159" stopIfTrue="1">
      <formula>AND(M3&lt;&gt;"", M3 - A2 &lt;= 7, M3 - A2 &gt; 2)</formula>
    </cfRule>
  </conditionalFormatting>
  <conditionalFormatting sqref="M3">
    <cfRule type="expression" dxfId="918" priority="160" stopIfTrue="1">
      <formula>AND(M3&lt;&gt;"", M3 - A2 &lt;= 2)</formula>
    </cfRule>
  </conditionalFormatting>
  <conditionalFormatting sqref="N3">
    <cfRule type="expression" dxfId="917" priority="161" stopIfTrue="1">
      <formula>AND(N3&lt;&gt;"", N3 - A2 &gt; 14)</formula>
    </cfRule>
  </conditionalFormatting>
  <conditionalFormatting sqref="N3">
    <cfRule type="expression" dxfId="916" priority="162" stopIfTrue="1">
      <formula>AND(N3&lt;&gt;"", N3 - A2 &lt;= 14, N3 - A2 &gt; 7)</formula>
    </cfRule>
  </conditionalFormatting>
  <conditionalFormatting sqref="N3">
    <cfRule type="expression" dxfId="915" priority="163" stopIfTrue="1">
      <formula>AND(N3&lt;&gt;"", N3 - A2 &lt;= 7, N3 - A2 &gt; 2)</formula>
    </cfRule>
  </conditionalFormatting>
  <conditionalFormatting sqref="N3">
    <cfRule type="expression" dxfId="914" priority="164" stopIfTrue="1">
      <formula>AND(N3&lt;&gt;"", N3 - A2 &lt;= 2)</formula>
    </cfRule>
  </conditionalFormatting>
  <conditionalFormatting sqref="O3">
    <cfRule type="expression" dxfId="913" priority="165" stopIfTrue="1">
      <formula>AND(O3&lt;&gt;"", O3 - A2 &gt; 14)</formula>
    </cfRule>
  </conditionalFormatting>
  <conditionalFormatting sqref="O3">
    <cfRule type="expression" dxfId="912" priority="166" stopIfTrue="1">
      <formula>AND(O3&lt;&gt;"", O3 - A2 &lt;= 14, O3 - A2 &gt; 7)</formula>
    </cfRule>
  </conditionalFormatting>
  <conditionalFormatting sqref="O3">
    <cfRule type="expression" dxfId="911" priority="167" stopIfTrue="1">
      <formula>AND(O3&lt;&gt;"", O3 - A2 &lt;= 7, O3 - A2 &gt; 2)</formula>
    </cfRule>
  </conditionalFormatting>
  <conditionalFormatting sqref="O3">
    <cfRule type="expression" dxfId="910" priority="168" stopIfTrue="1">
      <formula>AND(O3&lt;&gt;"", O3 - A2 &lt;= 2)</formula>
    </cfRule>
  </conditionalFormatting>
  <conditionalFormatting sqref="P3">
    <cfRule type="expression" dxfId="909" priority="169" stopIfTrue="1">
      <formula>AND(P3&lt;&gt;"", P3 - A2 &gt; 14)</formula>
    </cfRule>
  </conditionalFormatting>
  <conditionalFormatting sqref="P3">
    <cfRule type="expression" dxfId="908" priority="170" stopIfTrue="1">
      <formula>AND(P3&lt;&gt;"", P3 - A2 &lt;= 14, P3 - A2 &gt; 7)</formula>
    </cfRule>
  </conditionalFormatting>
  <conditionalFormatting sqref="P3">
    <cfRule type="expression" dxfId="907" priority="171" stopIfTrue="1">
      <formula>AND(P3&lt;&gt;"", P3 - A2 &lt;= 7, P3 - A2 &gt; 2)</formula>
    </cfRule>
  </conditionalFormatting>
  <conditionalFormatting sqref="P3">
    <cfRule type="expression" dxfId="906" priority="172" stopIfTrue="1">
      <formula>AND(P3&lt;&gt;"", P3 - A2 &lt;= 2)</formula>
    </cfRule>
  </conditionalFormatting>
  <conditionalFormatting sqref="Q3">
    <cfRule type="expression" dxfId="905" priority="173" stopIfTrue="1">
      <formula>AND(Q3&lt;&gt;"", Q3 - A2 &gt; 14)</formula>
    </cfRule>
  </conditionalFormatting>
  <conditionalFormatting sqref="Q3">
    <cfRule type="expression" dxfId="904" priority="174" stopIfTrue="1">
      <formula>AND(Q3&lt;&gt;"", Q3 - A2 &lt;= 14, Q3 - A2 &gt; 7)</formula>
    </cfRule>
  </conditionalFormatting>
  <conditionalFormatting sqref="Q3">
    <cfRule type="expression" dxfId="903" priority="175" stopIfTrue="1">
      <formula>AND(Q3&lt;&gt;"", Q3 - A2 &lt;= 7, Q3 - A2 &gt; 2)</formula>
    </cfRule>
  </conditionalFormatting>
  <conditionalFormatting sqref="Q3">
    <cfRule type="expression" dxfId="902" priority="176" stopIfTrue="1">
      <formula>AND(Q3&lt;&gt;"", Q3 - A2 &lt;= 2)</formula>
    </cfRule>
  </conditionalFormatting>
  <conditionalFormatting sqref="R3">
    <cfRule type="expression" dxfId="901" priority="177" stopIfTrue="1">
      <formula>AND(R3&lt;&gt;"", R3 - A2 &gt; 14)</formula>
    </cfRule>
  </conditionalFormatting>
  <conditionalFormatting sqref="R3">
    <cfRule type="expression" dxfId="900" priority="178" stopIfTrue="1">
      <formula>AND(R3&lt;&gt;"", R3 - A2 &lt;= 14, R3 - A2 &gt; 7)</formula>
    </cfRule>
  </conditionalFormatting>
  <conditionalFormatting sqref="R3">
    <cfRule type="expression" dxfId="899" priority="179" stopIfTrue="1">
      <formula>AND(R3&lt;&gt;"", R3 - A2 &lt;= 7, R3 - A2 &gt; 2)</formula>
    </cfRule>
  </conditionalFormatting>
  <conditionalFormatting sqref="R3">
    <cfRule type="expression" dxfId="898" priority="180" stopIfTrue="1">
      <formula>AND(R3&lt;&gt;"", R3 - A2 &lt;= 2)</formula>
    </cfRule>
  </conditionalFormatting>
  <conditionalFormatting sqref="S3">
    <cfRule type="expression" dxfId="897" priority="181" stopIfTrue="1">
      <formula>AND(S3&lt;&gt;"", S3 - A2 &gt; 14)</formula>
    </cfRule>
  </conditionalFormatting>
  <conditionalFormatting sqref="S3">
    <cfRule type="expression" dxfId="896" priority="182" stopIfTrue="1">
      <formula>AND(S3&lt;&gt;"", S3 - A2 &lt;= 14, S3 - A2 &gt; 7)</formula>
    </cfRule>
  </conditionalFormatting>
  <conditionalFormatting sqref="S3">
    <cfRule type="expression" dxfId="895" priority="183" stopIfTrue="1">
      <formula>AND(S3&lt;&gt;"", S3 - A2 &lt;= 7, S3 - A2 &gt; 2)</formula>
    </cfRule>
  </conditionalFormatting>
  <conditionalFormatting sqref="S3">
    <cfRule type="expression" dxfId="894" priority="184" stopIfTrue="1">
      <formula>AND(S3&lt;&gt;"", S3 - A2 &lt;= 2)</formula>
    </cfRule>
  </conditionalFormatting>
  <conditionalFormatting sqref="T3">
    <cfRule type="expression" dxfId="893" priority="185" stopIfTrue="1">
      <formula>AND(T3&lt;&gt;"", T3 - A2 &gt; 14)</formula>
    </cfRule>
  </conditionalFormatting>
  <conditionalFormatting sqref="T3">
    <cfRule type="expression" dxfId="892" priority="186" stopIfTrue="1">
      <formula>AND(T3&lt;&gt;"", T3 - A2 &lt;= 14, T3 - A2 &gt; 7)</formula>
    </cfRule>
  </conditionalFormatting>
  <conditionalFormatting sqref="T3">
    <cfRule type="expression" dxfId="891" priority="187" stopIfTrue="1">
      <formula>AND(T3&lt;&gt;"", T3 - A2 &lt;= 7, T3 - A2 &gt; 2)</formula>
    </cfRule>
  </conditionalFormatting>
  <conditionalFormatting sqref="T3">
    <cfRule type="expression" dxfId="890" priority="188" stopIfTrue="1">
      <formula>AND(T3&lt;&gt;"", T3 - A2 &lt;= 2)</formula>
    </cfRule>
  </conditionalFormatting>
  <conditionalFormatting sqref="U3">
    <cfRule type="expression" dxfId="889" priority="189" stopIfTrue="1">
      <formula>AND(U3&lt;&gt;"", U3 - A2 &gt; 14)</formula>
    </cfRule>
  </conditionalFormatting>
  <conditionalFormatting sqref="U3">
    <cfRule type="expression" dxfId="888" priority="190" stopIfTrue="1">
      <formula>AND(U3&lt;&gt;"", U3 - A2 &lt;= 14, U3 - A2 &gt; 7)</formula>
    </cfRule>
  </conditionalFormatting>
  <conditionalFormatting sqref="U3">
    <cfRule type="expression" dxfId="887" priority="191" stopIfTrue="1">
      <formula>AND(U3&lt;&gt;"", U3 - A2 &lt;= 7, U3 - A2 &gt; 2)</formula>
    </cfRule>
  </conditionalFormatting>
  <conditionalFormatting sqref="U3">
    <cfRule type="expression" dxfId="886" priority="192" stopIfTrue="1">
      <formula>AND(U3&lt;&gt;"", U3 - A2 &lt;= 2)</formula>
    </cfRule>
  </conditionalFormatting>
  <conditionalFormatting sqref="J4">
    <cfRule type="expression" dxfId="885" priority="49" stopIfTrue="1">
      <formula>AND(J4&lt;&gt;"", J4 - A2 &gt; 14)</formula>
    </cfRule>
  </conditionalFormatting>
  <conditionalFormatting sqref="J4">
    <cfRule type="expression" dxfId="884" priority="50" stopIfTrue="1">
      <formula>AND(J4&lt;&gt;"", J4 - A2 &lt;= 14, J4 - A2 &gt; 7)</formula>
    </cfRule>
  </conditionalFormatting>
  <conditionalFormatting sqref="J4">
    <cfRule type="expression" dxfId="883" priority="51" stopIfTrue="1">
      <formula>AND(J4&lt;&gt;"", J4 - A2 &lt;= 7, J4 - A2 &gt; 2)</formula>
    </cfRule>
  </conditionalFormatting>
  <conditionalFormatting sqref="J4">
    <cfRule type="expression" dxfId="882" priority="52" stopIfTrue="1">
      <formula>AND(J4&lt;&gt;"", J4 - A2 &lt;= 2)</formula>
    </cfRule>
  </conditionalFormatting>
  <conditionalFormatting sqref="K4">
    <cfRule type="expression" dxfId="881" priority="53" stopIfTrue="1">
      <formula>AND(K4&lt;&gt;"", K4 - A2 &gt; 14)</formula>
    </cfRule>
  </conditionalFormatting>
  <conditionalFormatting sqref="K4">
    <cfRule type="expression" dxfId="880" priority="54" stopIfTrue="1">
      <formula>AND(K4&lt;&gt;"", K4 - A2 &lt;= 14, K4 - A2 &gt; 7)</formula>
    </cfRule>
  </conditionalFormatting>
  <conditionalFormatting sqref="K4">
    <cfRule type="expression" dxfId="879" priority="55" stopIfTrue="1">
      <formula>AND(K4&lt;&gt;"", K4 - A2 &lt;= 7, K4 - A2 &gt; 2)</formula>
    </cfRule>
  </conditionalFormatting>
  <conditionalFormatting sqref="K4">
    <cfRule type="expression" dxfId="878" priority="56" stopIfTrue="1">
      <formula>AND(K4&lt;&gt;"", K4 - A2 &lt;= 2)</formula>
    </cfRule>
  </conditionalFormatting>
  <conditionalFormatting sqref="L4">
    <cfRule type="expression" dxfId="877" priority="57" stopIfTrue="1">
      <formula>AND(L4&lt;&gt;"", L4 - A2 &gt; 14)</formula>
    </cfRule>
  </conditionalFormatting>
  <conditionalFormatting sqref="L4">
    <cfRule type="expression" dxfId="876" priority="58" stopIfTrue="1">
      <formula>AND(L4&lt;&gt;"", L4 - A2 &lt;= 14, L4 - A2 &gt; 7)</formula>
    </cfRule>
  </conditionalFormatting>
  <conditionalFormatting sqref="L4">
    <cfRule type="expression" dxfId="875" priority="59" stopIfTrue="1">
      <formula>AND(L4&lt;&gt;"", L4 - A2 &lt;= 7, L4 - A2 &gt; 2)</formula>
    </cfRule>
  </conditionalFormatting>
  <conditionalFormatting sqref="L4">
    <cfRule type="expression" dxfId="874" priority="60" stopIfTrue="1">
      <formula>AND(L4&lt;&gt;"", L4 - A2 &lt;= 2)</formula>
    </cfRule>
  </conditionalFormatting>
  <conditionalFormatting sqref="M4">
    <cfRule type="expression" dxfId="873" priority="61" stopIfTrue="1">
      <formula>AND(M4&lt;&gt;"", M4 - A2 &gt; 14)</formula>
    </cfRule>
  </conditionalFormatting>
  <conditionalFormatting sqref="M4">
    <cfRule type="expression" dxfId="872" priority="62" stopIfTrue="1">
      <formula>AND(M4&lt;&gt;"", M4 - A2 &lt;= 14, M4 - A2 &gt; 7)</formula>
    </cfRule>
  </conditionalFormatting>
  <conditionalFormatting sqref="M4">
    <cfRule type="expression" dxfId="871" priority="63" stopIfTrue="1">
      <formula>AND(M4&lt;&gt;"", M4 - A2 &lt;= 7, M4 - A2 &gt; 2)</formula>
    </cfRule>
  </conditionalFormatting>
  <conditionalFormatting sqref="M4">
    <cfRule type="expression" dxfId="870" priority="64" stopIfTrue="1">
      <formula>AND(M4&lt;&gt;"", M4 - A2 &lt;= 2)</formula>
    </cfRule>
  </conditionalFormatting>
  <conditionalFormatting sqref="N4">
    <cfRule type="expression" dxfId="869" priority="65" stopIfTrue="1">
      <formula>AND(N4&lt;&gt;"", N4 - A2 &gt; 14)</formula>
    </cfRule>
  </conditionalFormatting>
  <conditionalFormatting sqref="N4">
    <cfRule type="expression" dxfId="868" priority="66" stopIfTrue="1">
      <formula>AND(N4&lt;&gt;"", N4 - A2 &lt;= 14, N4 - A2 &gt; 7)</formula>
    </cfRule>
  </conditionalFormatting>
  <conditionalFormatting sqref="N4">
    <cfRule type="expression" dxfId="867" priority="67" stopIfTrue="1">
      <formula>AND(N4&lt;&gt;"", N4 - A2 &lt;= 7, N4 - A2 &gt; 2)</formula>
    </cfRule>
  </conditionalFormatting>
  <conditionalFormatting sqref="N4">
    <cfRule type="expression" dxfId="866" priority="68" stopIfTrue="1">
      <formula>AND(N4&lt;&gt;"", N4 - A2 &lt;= 2)</formula>
    </cfRule>
  </conditionalFormatting>
  <conditionalFormatting sqref="O4">
    <cfRule type="expression" dxfId="865" priority="69" stopIfTrue="1">
      <formula>AND(O4&lt;&gt;"", O4 - A2 &gt; 14)</formula>
    </cfRule>
  </conditionalFormatting>
  <conditionalFormatting sqref="O4">
    <cfRule type="expression" dxfId="864" priority="70" stopIfTrue="1">
      <formula>AND(O4&lt;&gt;"", O4 - A2 &lt;= 14, O4 - A2 &gt; 7)</formula>
    </cfRule>
  </conditionalFormatting>
  <conditionalFormatting sqref="O4">
    <cfRule type="expression" dxfId="863" priority="71" stopIfTrue="1">
      <formula>AND(O4&lt;&gt;"", O4 - A2 &lt;= 7, O4 - A2 &gt; 2)</formula>
    </cfRule>
  </conditionalFormatting>
  <conditionalFormatting sqref="O4">
    <cfRule type="expression" dxfId="862" priority="72" stopIfTrue="1">
      <formula>AND(O4&lt;&gt;"", O4 - A2 &lt;= 2)</formula>
    </cfRule>
  </conditionalFormatting>
  <conditionalFormatting sqref="P4">
    <cfRule type="expression" dxfId="861" priority="73" stopIfTrue="1">
      <formula>AND(P4&lt;&gt;"", P4 - A2 &gt; 14)</formula>
    </cfRule>
  </conditionalFormatting>
  <conditionalFormatting sqref="P4">
    <cfRule type="expression" dxfId="860" priority="74" stopIfTrue="1">
      <formula>AND(P4&lt;&gt;"", P4 - A2 &lt;= 14, P4 - A2 &gt; 7)</formula>
    </cfRule>
  </conditionalFormatting>
  <conditionalFormatting sqref="P4">
    <cfRule type="expression" dxfId="859" priority="75" stopIfTrue="1">
      <formula>AND(P4&lt;&gt;"", P4 - A2 &lt;= 7, P4 - A2 &gt; 2)</formula>
    </cfRule>
  </conditionalFormatting>
  <conditionalFormatting sqref="P4">
    <cfRule type="expression" dxfId="858" priority="76" stopIfTrue="1">
      <formula>AND(P4&lt;&gt;"", P4 - A2 &lt;= 2)</formula>
    </cfRule>
  </conditionalFormatting>
  <conditionalFormatting sqref="Q4">
    <cfRule type="expression" dxfId="857" priority="77" stopIfTrue="1">
      <formula>AND(Q4&lt;&gt;"", Q4 - A2 &gt; 14)</formula>
    </cfRule>
  </conditionalFormatting>
  <conditionalFormatting sqref="Q4">
    <cfRule type="expression" dxfId="856" priority="78" stopIfTrue="1">
      <formula>AND(Q4&lt;&gt;"", Q4 - A2 &lt;= 14, Q4 - A2 &gt; 7)</formula>
    </cfRule>
  </conditionalFormatting>
  <conditionalFormatting sqref="Q4">
    <cfRule type="expression" dxfId="855" priority="79" stopIfTrue="1">
      <formula>AND(Q4&lt;&gt;"", Q4 - A2 &lt;= 7, Q4 - A2 &gt; 2)</formula>
    </cfRule>
  </conditionalFormatting>
  <conditionalFormatting sqref="Q4">
    <cfRule type="expression" dxfId="854" priority="80" stopIfTrue="1">
      <formula>AND(Q4&lt;&gt;"", Q4 - A2 &lt;= 2)</formula>
    </cfRule>
  </conditionalFormatting>
  <conditionalFormatting sqref="R4">
    <cfRule type="expression" dxfId="853" priority="81" stopIfTrue="1">
      <formula>AND(R4&lt;&gt;"", R4 - A2 &gt; 14)</formula>
    </cfRule>
  </conditionalFormatting>
  <conditionalFormatting sqref="R4">
    <cfRule type="expression" dxfId="852" priority="82" stopIfTrue="1">
      <formula>AND(R4&lt;&gt;"", R4 - A2 &lt;= 14, R4 - A2 &gt; 7)</formula>
    </cfRule>
  </conditionalFormatting>
  <conditionalFormatting sqref="R4">
    <cfRule type="expression" dxfId="851" priority="83" stopIfTrue="1">
      <formula>AND(R4&lt;&gt;"", R4 - A2 &lt;= 7, R4 - A2 &gt; 2)</formula>
    </cfRule>
  </conditionalFormatting>
  <conditionalFormatting sqref="R4">
    <cfRule type="expression" dxfId="850" priority="84" stopIfTrue="1">
      <formula>AND(R4&lt;&gt;"", R4 - A2 &lt;= 2)</formula>
    </cfRule>
  </conditionalFormatting>
  <conditionalFormatting sqref="S4">
    <cfRule type="expression" dxfId="849" priority="85" stopIfTrue="1">
      <formula>AND(S4&lt;&gt;"", S4 - A2 &gt; 14)</formula>
    </cfRule>
  </conditionalFormatting>
  <conditionalFormatting sqref="S4">
    <cfRule type="expression" dxfId="848" priority="86" stopIfTrue="1">
      <formula>AND(S4&lt;&gt;"", S4 - A2 &lt;= 14, S4 - A2 &gt; 7)</formula>
    </cfRule>
  </conditionalFormatting>
  <conditionalFormatting sqref="S4">
    <cfRule type="expression" dxfId="847" priority="87" stopIfTrue="1">
      <formula>AND(S4&lt;&gt;"", S4 - A2 &lt;= 7, S4 - A2 &gt; 2)</formula>
    </cfRule>
  </conditionalFormatting>
  <conditionalFormatting sqref="S4">
    <cfRule type="expression" dxfId="846" priority="88" stopIfTrue="1">
      <formula>AND(S4&lt;&gt;"", S4 - A2 &lt;= 2)</formula>
    </cfRule>
  </conditionalFormatting>
  <conditionalFormatting sqref="T4">
    <cfRule type="expression" dxfId="845" priority="89" stopIfTrue="1">
      <formula>AND(T4&lt;&gt;"", T4 - A2 &gt; 14)</formula>
    </cfRule>
  </conditionalFormatting>
  <conditionalFormatting sqref="T4">
    <cfRule type="expression" dxfId="844" priority="90" stopIfTrue="1">
      <formula>AND(T4&lt;&gt;"", T4 - A2 &lt;= 14, T4 - A2 &gt; 7)</formula>
    </cfRule>
  </conditionalFormatting>
  <conditionalFormatting sqref="T4">
    <cfRule type="expression" dxfId="843" priority="91" stopIfTrue="1">
      <formula>AND(T4&lt;&gt;"", T4 - A2 &lt;= 7, T4 - A2 &gt; 2)</formula>
    </cfRule>
  </conditionalFormatting>
  <conditionalFormatting sqref="T4">
    <cfRule type="expression" dxfId="842" priority="92" stopIfTrue="1">
      <formula>AND(T4&lt;&gt;"", T4 - A2 &lt;= 2)</formula>
    </cfRule>
  </conditionalFormatting>
  <conditionalFormatting sqref="U4">
    <cfRule type="expression" dxfId="841" priority="93" stopIfTrue="1">
      <formula>AND(U4&lt;&gt;"", U4 - A2 &gt; 14)</formula>
    </cfRule>
  </conditionalFormatting>
  <conditionalFormatting sqref="U4">
    <cfRule type="expression" dxfId="840" priority="94" stopIfTrue="1">
      <formula>AND(U4&lt;&gt;"", U4 - A2 &lt;= 14, U4 - A2 &gt; 7)</formula>
    </cfRule>
  </conditionalFormatting>
  <conditionalFormatting sqref="U4">
    <cfRule type="expression" dxfId="839" priority="95" stopIfTrue="1">
      <formula>AND(U4&lt;&gt;"", U4 - A2 &lt;= 7, U4 - A2 &gt; 2)</formula>
    </cfRule>
  </conditionalFormatting>
  <conditionalFormatting sqref="U4">
    <cfRule type="expression" dxfId="838" priority="96" stopIfTrue="1">
      <formula>AND(U4&lt;&gt;"", U4 - A2 &lt;= 2)</formula>
    </cfRule>
  </conditionalFormatting>
  <conditionalFormatting sqref="J5">
    <cfRule type="expression" dxfId="837" priority="1" stopIfTrue="1">
      <formula>AND(J5&lt;&gt;"", J5 - A2 &gt; 14)</formula>
    </cfRule>
  </conditionalFormatting>
  <conditionalFormatting sqref="J5">
    <cfRule type="expression" dxfId="836" priority="2" stopIfTrue="1">
      <formula>AND(J5&lt;&gt;"", J5 - A2 &lt;= 14, J5 - A2 &gt; 7)</formula>
    </cfRule>
  </conditionalFormatting>
  <conditionalFormatting sqref="J5">
    <cfRule type="expression" dxfId="835" priority="3" stopIfTrue="1">
      <formula>AND(J5&lt;&gt;"", J5 - A2 &lt;= 7, J5 - A2 &gt; 2)</formula>
    </cfRule>
  </conditionalFormatting>
  <conditionalFormatting sqref="J5">
    <cfRule type="expression" dxfId="834" priority="4" stopIfTrue="1">
      <formula>AND(J5&lt;&gt;"", J5 - A2 &lt;= 2)</formula>
    </cfRule>
  </conditionalFormatting>
  <conditionalFormatting sqref="K5">
    <cfRule type="expression" dxfId="833" priority="5" stopIfTrue="1">
      <formula>AND(K5&lt;&gt;"", K5 - A2 &gt; 14)</formula>
    </cfRule>
  </conditionalFormatting>
  <conditionalFormatting sqref="K5">
    <cfRule type="expression" dxfId="832" priority="6" stopIfTrue="1">
      <formula>AND(K5&lt;&gt;"", K5 - A2 &lt;= 14, K5 - A2 &gt; 7)</formula>
    </cfRule>
  </conditionalFormatting>
  <conditionalFormatting sqref="K5">
    <cfRule type="expression" dxfId="831" priority="7" stopIfTrue="1">
      <formula>AND(K5&lt;&gt;"", K5 - A2 &lt;= 7, K5 - A2 &gt; 2)</formula>
    </cfRule>
  </conditionalFormatting>
  <conditionalFormatting sqref="K5">
    <cfRule type="expression" dxfId="830" priority="8" stopIfTrue="1">
      <formula>AND(K5&lt;&gt;"", K5 - A2 &lt;= 2)</formula>
    </cfRule>
  </conditionalFormatting>
  <conditionalFormatting sqref="L5">
    <cfRule type="expression" dxfId="829" priority="9" stopIfTrue="1">
      <formula>AND(L5&lt;&gt;"", L5 - A2 &gt; 14)</formula>
    </cfRule>
  </conditionalFormatting>
  <conditionalFormatting sqref="L5">
    <cfRule type="expression" dxfId="828" priority="10" stopIfTrue="1">
      <formula>AND(L5&lt;&gt;"", L5 - A2 &lt;= 14, L5 - A2 &gt; 7)</formula>
    </cfRule>
  </conditionalFormatting>
  <conditionalFormatting sqref="L5">
    <cfRule type="expression" dxfId="827" priority="11" stopIfTrue="1">
      <formula>AND(L5&lt;&gt;"", L5 - A2 &lt;= 7, L5 - A2 &gt; 2)</formula>
    </cfRule>
  </conditionalFormatting>
  <conditionalFormatting sqref="L5">
    <cfRule type="expression" dxfId="826" priority="12" stopIfTrue="1">
      <formula>AND(L5&lt;&gt;"", L5 - A2 &lt;= 2)</formula>
    </cfRule>
  </conditionalFormatting>
  <conditionalFormatting sqref="M5">
    <cfRule type="expression" dxfId="825" priority="13" stopIfTrue="1">
      <formula>AND(M5&lt;&gt;"", M5 - A2 &gt; 14)</formula>
    </cfRule>
  </conditionalFormatting>
  <conditionalFormatting sqref="M5">
    <cfRule type="expression" dxfId="824" priority="14" stopIfTrue="1">
      <formula>AND(M5&lt;&gt;"", M5 - A2 &lt;= 14, M5 - A2 &gt; 7)</formula>
    </cfRule>
  </conditionalFormatting>
  <conditionalFormatting sqref="M5">
    <cfRule type="expression" dxfId="823" priority="15" stopIfTrue="1">
      <formula>AND(M5&lt;&gt;"", M5 - A2 &lt;= 7, M5 - A2 &gt; 2)</formula>
    </cfRule>
  </conditionalFormatting>
  <conditionalFormatting sqref="M5">
    <cfRule type="expression" dxfId="822" priority="16" stopIfTrue="1">
      <formula>AND(M5&lt;&gt;"", M5 - A2 &lt;= 2)</formula>
    </cfRule>
  </conditionalFormatting>
  <conditionalFormatting sqref="N5">
    <cfRule type="expression" dxfId="821" priority="17" stopIfTrue="1">
      <formula>AND(N5&lt;&gt;"", N5 - A2 &gt; 14)</formula>
    </cfRule>
  </conditionalFormatting>
  <conditionalFormatting sqref="N5">
    <cfRule type="expression" dxfId="820" priority="18" stopIfTrue="1">
      <formula>AND(N5&lt;&gt;"", N5 - A2 &lt;= 14, N5 - A2 &gt; 7)</formula>
    </cfRule>
  </conditionalFormatting>
  <conditionalFormatting sqref="N5">
    <cfRule type="expression" dxfId="819" priority="19" stopIfTrue="1">
      <formula>AND(N5&lt;&gt;"", N5 - A2 &lt;= 7, N5 - A2 &gt; 2)</formula>
    </cfRule>
  </conditionalFormatting>
  <conditionalFormatting sqref="N5">
    <cfRule type="expression" dxfId="818" priority="20" stopIfTrue="1">
      <formula>AND(N5&lt;&gt;"", N5 - A2 &lt;= 2)</formula>
    </cfRule>
  </conditionalFormatting>
  <conditionalFormatting sqref="O5">
    <cfRule type="expression" dxfId="817" priority="21" stopIfTrue="1">
      <formula>AND(O5&lt;&gt;"", O5 - A2 &gt; 14)</formula>
    </cfRule>
  </conditionalFormatting>
  <conditionalFormatting sqref="O5">
    <cfRule type="expression" dxfId="816" priority="22" stopIfTrue="1">
      <formula>AND(O5&lt;&gt;"", O5 - A2 &lt;= 14, O5 - A2 &gt; 7)</formula>
    </cfRule>
  </conditionalFormatting>
  <conditionalFormatting sqref="O5">
    <cfRule type="expression" dxfId="815" priority="23" stopIfTrue="1">
      <formula>AND(O5&lt;&gt;"", O5 - A2 &lt;= 7, O5 - A2 &gt; 2)</formula>
    </cfRule>
  </conditionalFormatting>
  <conditionalFormatting sqref="O5">
    <cfRule type="expression" dxfId="814" priority="24" stopIfTrue="1">
      <formula>AND(O5&lt;&gt;"", O5 - A2 &lt;= 2)</formula>
    </cfRule>
  </conditionalFormatting>
  <conditionalFormatting sqref="P5">
    <cfRule type="expression" dxfId="813" priority="25" stopIfTrue="1">
      <formula>AND(P5&lt;&gt;"", P5 - A2 &gt; 14)</formula>
    </cfRule>
  </conditionalFormatting>
  <conditionalFormatting sqref="P5">
    <cfRule type="expression" dxfId="812" priority="26" stopIfTrue="1">
      <formula>AND(P5&lt;&gt;"", P5 - A2 &lt;= 14, P5 - A2 &gt; 7)</formula>
    </cfRule>
  </conditionalFormatting>
  <conditionalFormatting sqref="P5">
    <cfRule type="expression" dxfId="811" priority="27" stopIfTrue="1">
      <formula>AND(P5&lt;&gt;"", P5 - A2 &lt;= 7, P5 - A2 &gt; 2)</formula>
    </cfRule>
  </conditionalFormatting>
  <conditionalFormatting sqref="P5">
    <cfRule type="expression" dxfId="810" priority="28" stopIfTrue="1">
      <formula>AND(P5&lt;&gt;"", P5 - A2 &lt;= 2)</formula>
    </cfRule>
  </conditionalFormatting>
  <conditionalFormatting sqref="Q5">
    <cfRule type="expression" dxfId="809" priority="29" stopIfTrue="1">
      <formula>AND(Q5&lt;&gt;"", Q5 - A2 &gt; 14)</formula>
    </cfRule>
  </conditionalFormatting>
  <conditionalFormatting sqref="Q5">
    <cfRule type="expression" dxfId="808" priority="30" stopIfTrue="1">
      <formula>AND(Q5&lt;&gt;"", Q5 - A2 &lt;= 14, Q5 - A2 &gt; 7)</formula>
    </cfRule>
  </conditionalFormatting>
  <conditionalFormatting sqref="Q5">
    <cfRule type="expression" dxfId="807" priority="31" stopIfTrue="1">
      <formula>AND(Q5&lt;&gt;"", Q5 - A2 &lt;= 7, Q5 - A2 &gt; 2)</formula>
    </cfRule>
  </conditionalFormatting>
  <conditionalFormatting sqref="Q5">
    <cfRule type="expression" dxfId="806" priority="32" stopIfTrue="1">
      <formula>AND(Q5&lt;&gt;"", Q5 - A2 &lt;= 2)</formula>
    </cfRule>
  </conditionalFormatting>
  <conditionalFormatting sqref="R5">
    <cfRule type="expression" dxfId="805" priority="33" stopIfTrue="1">
      <formula>AND(R5&lt;&gt;"", R5 - A2 &gt; 14)</formula>
    </cfRule>
  </conditionalFormatting>
  <conditionalFormatting sqref="R5">
    <cfRule type="expression" dxfId="804" priority="34" stopIfTrue="1">
      <formula>AND(R5&lt;&gt;"", R5 - A2 &lt;= 14, R5 - A2 &gt; 7)</formula>
    </cfRule>
  </conditionalFormatting>
  <conditionalFormatting sqref="R5">
    <cfRule type="expression" dxfId="803" priority="35" stopIfTrue="1">
      <formula>AND(R5&lt;&gt;"", R5 - A2 &lt;= 7, R5 - A2 &gt; 2)</formula>
    </cfRule>
  </conditionalFormatting>
  <conditionalFormatting sqref="R5">
    <cfRule type="expression" dxfId="802" priority="36" stopIfTrue="1">
      <formula>AND(R5&lt;&gt;"", R5 - A2 &lt;= 2)</formula>
    </cfRule>
  </conditionalFormatting>
  <conditionalFormatting sqref="S5">
    <cfRule type="expression" dxfId="801" priority="37" stopIfTrue="1">
      <formula>AND(S5&lt;&gt;"", S5 - A2 &gt; 14)</formula>
    </cfRule>
  </conditionalFormatting>
  <conditionalFormatting sqref="S5">
    <cfRule type="expression" dxfId="800" priority="38" stopIfTrue="1">
      <formula>AND(S5&lt;&gt;"", S5 - A2 &lt;= 14, S5 - A2 &gt; 7)</formula>
    </cfRule>
  </conditionalFormatting>
  <conditionalFormatting sqref="S5">
    <cfRule type="expression" dxfId="799" priority="39" stopIfTrue="1">
      <formula>AND(S5&lt;&gt;"", S5 - A2 &lt;= 7, S5 - A2 &gt; 2)</formula>
    </cfRule>
  </conditionalFormatting>
  <conditionalFormatting sqref="S5">
    <cfRule type="expression" dxfId="798" priority="40" stopIfTrue="1">
      <formula>AND(S5&lt;&gt;"", S5 - A2 &lt;= 2)</formula>
    </cfRule>
  </conditionalFormatting>
  <conditionalFormatting sqref="T5">
    <cfRule type="expression" dxfId="797" priority="41" stopIfTrue="1">
      <formula>AND(T5&lt;&gt;"", T5 - A2 &gt; 14)</formula>
    </cfRule>
  </conditionalFormatting>
  <conditionalFormatting sqref="T5">
    <cfRule type="expression" dxfId="796" priority="42" stopIfTrue="1">
      <formula>AND(T5&lt;&gt;"", T5 - A2 &lt;= 14, T5 - A2 &gt; 7)</formula>
    </cfRule>
  </conditionalFormatting>
  <conditionalFormatting sqref="T5">
    <cfRule type="expression" dxfId="795" priority="43" stopIfTrue="1">
      <formula>AND(T5&lt;&gt;"", T5 - A2 &lt;= 7, T5 - A2 &gt; 2)</formula>
    </cfRule>
  </conditionalFormatting>
  <conditionalFormatting sqref="T5">
    <cfRule type="expression" dxfId="794" priority="44" stopIfTrue="1">
      <formula>AND(T5&lt;&gt;"", T5 - A2 &lt;= 2)</formula>
    </cfRule>
  </conditionalFormatting>
  <conditionalFormatting sqref="U5">
    <cfRule type="expression" dxfId="793" priority="45" stopIfTrue="1">
      <formula>AND(U5&lt;&gt;"", U5 - A2 &gt; 14)</formula>
    </cfRule>
  </conditionalFormatting>
  <conditionalFormatting sqref="U5">
    <cfRule type="expression" dxfId="792" priority="46" stopIfTrue="1">
      <formula>AND(U5&lt;&gt;"", U5 - A2 &lt;= 14, U5 - A2 &gt; 7)</formula>
    </cfRule>
  </conditionalFormatting>
  <conditionalFormatting sqref="U5">
    <cfRule type="expression" dxfId="791" priority="47" stopIfTrue="1">
      <formula>AND(U5&lt;&gt;"", U5 - A2 &lt;= 7, U5 - A2 &gt; 2)</formula>
    </cfRule>
  </conditionalFormatting>
  <conditionalFormatting sqref="U5">
    <cfRule type="expression" dxfId="790" priority="48" stopIfTrue="1">
      <formula>AND(U5&lt;&gt;"", U5 - A2 &lt;= 2)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060057E979C541B272B84A7FFCB1C8" ma:contentTypeVersion="13" ma:contentTypeDescription="Create a new document." ma:contentTypeScope="" ma:versionID="a647aa1e541104a12269c1eb5474332f">
  <xsd:schema xmlns:xsd="http://www.w3.org/2001/XMLSchema" xmlns:xs="http://www.w3.org/2001/XMLSchema" xmlns:p="http://schemas.microsoft.com/office/2006/metadata/properties" xmlns:ns2="fdc9e6ab-7c4b-4e6a-bc1d-5c7bf932c03e" xmlns:ns3="d844ee1d-75af-49f6-800a-e7955433c494" targetNamespace="http://schemas.microsoft.com/office/2006/metadata/properties" ma:root="true" ma:fieldsID="3bcb136883933d163459f3fdd94965b3" ns2:_="" ns3:_="">
    <xsd:import namespace="fdc9e6ab-7c4b-4e6a-bc1d-5c7bf932c03e"/>
    <xsd:import namespace="d844ee1d-75af-49f6-800a-e7955433c49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c9e6ab-7c4b-4e6a-bc1d-5c7bf932c0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77ad4b4-66bd-420a-861f-1f8b183f727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44ee1d-75af-49f6-800a-e7955433c494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c9e6ab-7c4b-4e6a-bc1d-5c7bf932c03e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3E6DDC05-A937-42AB-90E8-3F60613C0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c9e6ab-7c4b-4e6a-bc1d-5c7bf932c03e"/>
    <ds:schemaRef ds:uri="d844ee1d-75af-49f6-800a-e7955433c49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818739-5FE6-48F5-B786-BF8F1737766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4F34FB-A2B1-4DFB-993E-30CFF2ED27B2}">
  <ds:schemaRefs>
    <ds:schemaRef ds:uri="http://schemas.microsoft.com/office/2006/metadata/properties"/>
    <ds:schemaRef ds:uri="http://schemas.microsoft.com/office/infopath/2007/PartnerControls"/>
    <ds:schemaRef ds:uri="fdc9e6ab-7c4b-4e6a-bc1d-5c7bf932c03e"/>
  </ds:schemaRefs>
</ds:datastoreItem>
</file>

<file path=customXml/itemProps4.xml><?xml version="1.0" encoding="utf-8"?>
<ds:datastoreItem xmlns:ds="http://schemas.openxmlformats.org/officeDocument/2006/customXml" ds:itemID="{B061970A-C914-44DC-ADD7-068802F3F3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Opportunity</vt:lpstr>
      <vt:lpstr>Completed_Projects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Aragon, Timothy</dc:creator>
  <cp:lastModifiedBy>Aragon, Timothy</cp:lastModifiedBy>
  <dcterms:created xsi:type="dcterms:W3CDTF">2024-04-02T15:27:11Z</dcterms:created>
  <dcterms:modified xsi:type="dcterms:W3CDTF">2024-05-17T20:09:50Z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0x01010025060057E979C541B272B84A7FFCB1C8</vt:lpwstr>
  </property>
  <property fmtid="{D5CDD505-2E9C-101B-9397-08002B2CF9AE}" pid="3" name="MediaServiceImageTags">
    <vt:lpwstr/>
  </property>
</Properties>
</file>