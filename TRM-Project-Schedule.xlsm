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techcorp.sharepoint.com/sites/GlobalManagedServices-TournamentManager/Shared Documents/Tournament Manager/TRM_Projects/"/>
    </mc:Choice>
  </mc:AlternateContent>
  <xr:revisionPtr revIDLastSave="28" documentId="13_ncr:1_{54A8C650-4654-43F2-A41C-0CD3857012B5}" xr6:coauthVersionLast="47" xr6:coauthVersionMax="47" xr10:uidLastSave="{C61F6CBE-694F-4D21-B114-5976F69EF657}"/>
  <bookViews>
    <workbookView xWindow="900" yWindow="1620" windowWidth="27285" windowHeight="13560" firstSheet="1" activeTab="1" xr2:uid="{11746E52-A96B-4E91-86A9-A395D8011DDA}"/>
  </bookViews>
  <sheets>
    <sheet name="Schedule" sheetId="1" state="hidden" r:id="rId1"/>
    <sheet name="Opportunity" sheetId="3" r:id="rId2"/>
    <sheet name="Completed_Projects" sheetId="4" r:id="rId3"/>
  </sheets>
  <definedNames>
    <definedName name="ExternalData_1" localSheetId="1" hidden="1">Opportunity!$A$5:$U$10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E10" i="1"/>
  <c r="F10" i="1"/>
  <c r="G10" i="1"/>
  <c r="H10" i="1"/>
  <c r="I10" i="1"/>
  <c r="J10" i="1"/>
  <c r="K10" i="1"/>
  <c r="L10" i="1"/>
  <c r="M10" i="1"/>
  <c r="N10" i="1"/>
  <c r="D6" i="1"/>
  <c r="D7" i="1"/>
  <c r="D8" i="1"/>
  <c r="D9" i="1"/>
  <c r="A2" i="4"/>
  <c r="E9" i="1"/>
  <c r="F9" i="1"/>
  <c r="G9" i="1"/>
  <c r="H9" i="1"/>
  <c r="I9" i="1"/>
  <c r="J9" i="1"/>
  <c r="K9" i="1"/>
  <c r="L9" i="1"/>
  <c r="M9" i="1"/>
  <c r="N9" i="1"/>
  <c r="N6" i="1"/>
  <c r="N7" i="1"/>
  <c r="N8" i="1"/>
  <c r="M6" i="1"/>
  <c r="M7" i="1"/>
  <c r="M8" i="1"/>
  <c r="L6" i="1"/>
  <c r="L7" i="1"/>
  <c r="L8" i="1"/>
  <c r="K6" i="1"/>
  <c r="K7" i="1"/>
  <c r="K8" i="1"/>
  <c r="J6" i="1"/>
  <c r="J7" i="1"/>
  <c r="J8" i="1"/>
  <c r="I6" i="1"/>
  <c r="I7" i="1"/>
  <c r="I8" i="1"/>
  <c r="H6" i="1"/>
  <c r="H7" i="1"/>
  <c r="H8" i="1"/>
  <c r="G6" i="1"/>
  <c r="G7" i="1"/>
  <c r="G8" i="1"/>
  <c r="F6" i="1"/>
  <c r="F7" i="1"/>
  <c r="F8" i="1"/>
  <c r="E6" i="1"/>
  <c r="E7" i="1"/>
  <c r="E8" i="1"/>
  <c r="A2" i="3"/>
  <c r="A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B7870A-6DFC-45E3-8864-4A70D641336C}" keepAlive="1" name="Query - Opportunity" description="Connection to the 'Opportunity' query in the workbook." type="5" refreshedVersion="8" background="1" refreshOnLoad="1" saveData="1">
    <dbPr connection="Provider=Microsoft.Mashup.OleDb.1;Data Source=$Workbook$;Location=Opportunity;Extended Properties=&quot;&quot;" command="SELECT * FROM [Opportunity]"/>
  </connection>
</connections>
</file>

<file path=xl/sharedStrings.xml><?xml version="1.0" encoding="utf-8"?>
<sst xmlns="http://schemas.openxmlformats.org/spreadsheetml/2006/main" count="190" uniqueCount="79">
  <si>
    <t>Install Date</t>
  </si>
  <si>
    <t>Property</t>
  </si>
  <si>
    <t>Seminole Tribe of Florida - dba</t>
  </si>
  <si>
    <t>The Venetian Resort Las Vegas</t>
  </si>
  <si>
    <t>Sharkeys Casino</t>
  </si>
  <si>
    <t>Fontainebleau Las Vegas</t>
  </si>
  <si>
    <t>IGT TRM Projects At a Glance</t>
  </si>
  <si>
    <t>*Today Is*</t>
  </si>
  <si>
    <t>Emerald Queen Casino Tacoma</t>
  </si>
  <si>
    <t>Live! Casino and Hotel Philadelphia</t>
  </si>
  <si>
    <t>Muckleshoot Indian Bingo</t>
  </si>
  <si>
    <t>Harrah's Laughlin</t>
  </si>
  <si>
    <t>OPP</t>
  </si>
  <si>
    <t>OPP258075</t>
  </si>
  <si>
    <t>OPP260256</t>
  </si>
  <si>
    <t>OPP211920</t>
  </si>
  <si>
    <t>OPP259229</t>
  </si>
  <si>
    <t>OPP246395</t>
  </si>
  <si>
    <t>OPP265994</t>
  </si>
  <si>
    <t>OPP234857</t>
  </si>
  <si>
    <t>OPP251455</t>
  </si>
  <si>
    <t>West</t>
  </si>
  <si>
    <t>Completed</t>
  </si>
  <si>
    <t>East</t>
  </si>
  <si>
    <t>Started</t>
  </si>
  <si>
    <t>Peppers, Derek</t>
  </si>
  <si>
    <t>Aragon, Timothy</t>
  </si>
  <si>
    <t>Hampton, William</t>
  </si>
  <si>
    <t>Post Go Live RCA</t>
  </si>
  <si>
    <t>Deployment Plan Evaluation</t>
  </si>
  <si>
    <t>Sanity Check
Risk Assesment
Travel Planning
Server Verification</t>
  </si>
  <si>
    <t>Training
Deployment Plan Acceptance</t>
  </si>
  <si>
    <t>Project Planning
Software Order</t>
  </si>
  <si>
    <t>RA/Network Topology</t>
  </si>
  <si>
    <t>Requirements Gathering 
Tech Plan
Customer Documentation</t>
  </si>
  <si>
    <t>Internal/Exteranl Kickoff</t>
  </si>
  <si>
    <t>Scheduling
Customer Email Introduction</t>
  </si>
  <si>
    <t>PM Project Prep
Scheduling</t>
  </si>
  <si>
    <t>Licensing/Juristictional Approval</t>
  </si>
  <si>
    <t>Sales Engagement
Hardware/Peripherals
Signed SO &amp; Approval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</si>
  <si>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</si>
  <si>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</si>
  <si>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</si>
  <si>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</si>
  <si>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</si>
  <si>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</si>
  <si>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</si>
  <si>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</si>
  <si>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</si>
  <si>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</si>
  <si>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</si>
  <si>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Transition</t>
  </si>
  <si>
    <t>Carson Valley Inn - Tournament Manager</t>
  </si>
  <si>
    <t>Hard Rock Hollywood Tournament Mgr Install  41 EGMs</t>
  </si>
  <si>
    <t>CZR Harrah's Laughlin Tournament Manager Install</t>
  </si>
  <si>
    <t>Venetian Tournament Manager Upgrade</t>
  </si>
  <si>
    <t>Emerald Queen Tacoma - Tournament Manager Install</t>
  </si>
  <si>
    <t>Muckleshoot Tournament Manager Install</t>
  </si>
  <si>
    <t>Fontainebleau - Tournament Manager Install</t>
  </si>
  <si>
    <t>Philly Live Tournament Manager</t>
  </si>
  <si>
    <t>Account</t>
  </si>
  <si>
    <t>Go Live Date</t>
  </si>
  <si>
    <t>Days Till Install</t>
  </si>
  <si>
    <t>Progress</t>
  </si>
  <si>
    <t>Region</t>
  </si>
  <si>
    <t>Lead SE</t>
  </si>
  <si>
    <t>Project Identification and information</t>
  </si>
  <si>
    <t>Opp</t>
  </si>
  <si>
    <t>OPP252374</t>
  </si>
  <si>
    <t>Potawatomi Bingo Casino</t>
  </si>
  <si>
    <t>Potawatomi MKE- Tournament Manager Multisite Cleo Install</t>
  </si>
  <si>
    <t>Central</t>
  </si>
  <si>
    <t>IGT TRM Completed Projects (Historical)</t>
  </si>
  <si>
    <t/>
  </si>
  <si>
    <t>Go-Live Date</t>
  </si>
  <si>
    <t>OPP276612</t>
  </si>
  <si>
    <t>Zia Park Racetrack and Black Gold</t>
  </si>
  <si>
    <t>Zia Park Tournament Manager Upgrade &amp; Theme Change</t>
  </si>
  <si>
    <t>Not Started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</si>
</sst>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Lato"/>
      <family val="2"/>
    </font>
    <font>
      <sz val="12"/>
      <color theme="1"/>
      <name val="Lato"/>
      <family val="2"/>
    </font>
    <font>
      <b/>
      <sz val="12"/>
      <color theme="0"/>
      <name val="Lato"/>
      <family val="2"/>
    </font>
    <font>
      <b/>
      <sz val="26"/>
      <color theme="1"/>
      <name val="Lato"/>
      <family val="2"/>
    </font>
    <font>
      <b/>
      <sz val="12"/>
      <color theme="1"/>
      <name val="Lato"/>
      <family val="2"/>
    </font>
    <font>
      <sz val="8"/>
      <name val="Calibri"/>
      <family val="2"/>
      <scheme val="minor"/>
    </font>
    <font>
      <b/>
      <sz val="11"/>
      <color theme="1"/>
      <name val="Lato"/>
      <family val="2"/>
    </font>
    <font>
      <b/>
      <sz val="14"/>
      <color theme="1"/>
      <name val="Lato"/>
      <family val="2"/>
    </font>
    <font>
      <b/>
      <sz val="18"/>
      <color theme="0"/>
      <name val="Lato"/>
      <family val="2"/>
    </font>
    <font>
      <sz val="11"/>
      <color rgb="FF181818"/>
      <name val="Lato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0" fontId="2" fillId="0" borderId="0" xfId="0" applyFont="1"/>
    <xf numFmtId="14" fontId="3" fillId="3" borderId="6" xfId="0" applyNumberFormat="1" applyFont="1" applyFill="1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14" fontId="1" fillId="0" borderId="8" xfId="0" applyNumberFormat="1" applyFont="1" applyBorder="1"/>
    <xf numFmtId="0" fontId="5" fillId="2" borderId="12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14" fontId="3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1" fillId="5" borderId="8" xfId="0" applyNumberFormat="1" applyFont="1" applyFill="1" applyBorder="1"/>
    <xf numFmtId="0" fontId="5" fillId="2" borderId="14" xfId="0" applyFont="1" applyFill="1" applyBorder="1" applyAlignment="1">
      <alignment horizontal="center" vertical="center" wrapText="1"/>
    </xf>
    <xf numFmtId="14" fontId="1" fillId="5" borderId="10" xfId="0" applyNumberFormat="1" applyFont="1" applyFill="1" applyBorder="1"/>
    <xf numFmtId="0" fontId="7" fillId="4" borderId="10" xfId="0" applyFont="1" applyFill="1" applyBorder="1" applyAlignment="1">
      <alignment vertical="center" wrapText="1"/>
    </xf>
    <xf numFmtId="0" fontId="1" fillId="0" borderId="10" xfId="0" applyFont="1" applyBorder="1" applyAlignment="1">
      <alignment vertical="center" wrapText="1"/>
    </xf>
    <xf numFmtId="14" fontId="1" fillId="0" borderId="11" xfId="0" applyNumberFormat="1" applyFont="1" applyBorder="1"/>
    <xf numFmtId="0" fontId="8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/>
    </xf>
    <xf numFmtId="0" fontId="8" fillId="0" borderId="0" xfId="0" applyFont="1"/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14" fontId="3" fillId="6" borderId="1" xfId="0" applyNumberFormat="1" applyFont="1" applyFill="1" applyBorder="1" applyAlignment="1">
      <alignment horizontal="center"/>
    </xf>
    <xf numFmtId="14" fontId="1" fillId="0" borderId="0" xfId="0" applyNumberFormat="1" applyFont="1"/>
    <xf numFmtId="14" fontId="0" fillId="0" borderId="0" xfId="0" applyNumberFormat="1"/>
    <xf numFmtId="0" fontId="10" fillId="0" borderId="18" xfId="0" applyFont="1" applyBorder="1"/>
    <xf numFmtId="0" fontId="1" fillId="0" borderId="18" xfId="0" applyFont="1" applyBorder="1"/>
    <xf numFmtId="14" fontId="1" fillId="0" borderId="19" xfId="0" applyNumberFormat="1" applyFont="1" applyBorder="1"/>
    <xf numFmtId="14" fontId="3" fillId="3" borderId="7" xfId="0" applyNumberFormat="1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14" fontId="9" fillId="6" borderId="1" xfId="0" applyNumberFormat="1" applyFont="1" applyFill="1" applyBorder="1" applyAlignment="1">
      <alignment horizontal="center" vertical="center"/>
    </xf>
    <xf numFmtId="14" fontId="9" fillId="6" borderId="2" xfId="0" applyNumberFormat="1" applyFont="1" applyFill="1" applyBorder="1" applyAlignment="1">
      <alignment horizontal="center" vertical="center"/>
    </xf>
    <xf numFmtId="14" fontId="9" fillId="6" borderId="3" xfId="0" applyNumberFormat="1" applyFont="1" applyFill="1" applyBorder="1" applyAlignment="1">
      <alignment horizontal="center" vertical="center"/>
    </xf>
    <xf numFmtId="14" fontId="9" fillId="6" borderId="4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center" vertical="center"/>
    </xf>
    <xf numFmtId="14" fontId="9" fillId="6" borderId="5" xfId="0" applyNumberFormat="1" applyFont="1" applyFill="1" applyBorder="1" applyAlignment="1">
      <alignment horizontal="center" vertical="center"/>
    </xf>
    <xf numFmtId="14" fontId="9" fillId="6" borderId="15" xfId="0" applyNumberFormat="1" applyFont="1" applyFill="1" applyBorder="1" applyAlignment="1">
      <alignment horizontal="center" vertical="center"/>
    </xf>
    <xf numFmtId="14" fontId="9" fillId="6" borderId="16" xfId="0" applyNumberFormat="1" applyFont="1" applyFill="1" applyBorder="1" applyAlignment="1">
      <alignment horizontal="center" vertical="center"/>
    </xf>
    <xf numFmtId="14" fontId="9" fillId="6" borderId="17" xfId="0" applyNumberFormat="1" applyFont="1" applyFill="1" applyBorder="1" applyAlignment="1">
      <alignment horizontal="center" vertical="center"/>
    </xf>
    <xf numFmtId="14" fontId="3" fillId="6" borderId="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14" fontId="3" fillId="6" borderId="2" xfId="0" applyNumberFormat="1" applyFont="1" applyFill="1" applyBorder="1" applyAlignment="1">
      <alignment horizontal="center" vertical="center"/>
    </xf>
    <xf numFmtId="14" fontId="3" fillId="6" borderId="3" xfId="0" applyNumberFormat="1" applyFont="1" applyFill="1" applyBorder="1" applyAlignment="1">
      <alignment horizontal="center" vertical="center"/>
    </xf>
    <xf numFmtId="14" fontId="3" fillId="6" borderId="0" xfId="0" applyNumberFormat="1" applyFont="1" applyFill="1" applyAlignment="1">
      <alignment horizontal="center" vertical="center"/>
    </xf>
    <xf numFmtId="14" fontId="3" fillId="6" borderId="5" xfId="0" applyNumberFormat="1" applyFont="1" applyFill="1" applyBorder="1" applyAlignment="1">
      <alignment horizontal="center" vertical="center"/>
    </xf>
    <xf numFmtId="14" fontId="3" fillId="6" borderId="16" xfId="0" applyNumberFormat="1" applyFont="1" applyFill="1" applyBorder="1" applyAlignment="1">
      <alignment horizontal="center" vertical="center"/>
    </xf>
    <xf numFmtId="14" fontId="3" fillId="6" borderId="1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583"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ato"/>
        <family val="2"/>
        <scheme val="none"/>
      </font>
      <alignment horizontal="general" vertical="top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ont>
        <strike val="0"/>
        <outline val="0"/>
        <shadow val="0"/>
        <u val="none"/>
        <vertAlign val="baseline"/>
        <name val="Lato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name val="Lato"/>
        <family val="2"/>
        <scheme val="none"/>
      </font>
      <alignment horizontal="general" vertical="top" textRotation="0" wrapText="1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A5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181818"/>
        <name val="Lato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Lato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83ECE6AA-4B52-41AC-9636-2180F19ECCEA}" autoFormatId="16" applyNumberFormats="0" applyBorderFormats="0" applyFontFormats="0" applyPatternFormats="0" applyAlignmentFormats="0" applyWidthHeightFormats="0">
  <queryTableRefresh nextId="93">
    <queryTableFields count="21">
      <queryTableField id="91" name="Opp" tableColumnId="9"/>
      <queryTableField id="79" name="Account" tableColumnId="2"/>
      <queryTableField id="21" name="Property" tableColumnId="21"/>
      <queryTableField id="80" name="Install Date" tableColumnId="4"/>
      <queryTableField id="81" name="Go Live Date" tableColumnId="5"/>
      <queryTableField id="77" name="Days till Install" tableColumnId="3"/>
      <queryTableField id="82" name="Progress" tableColumnId="6"/>
      <queryTableField id="83" name="Region" tableColumnId="7"/>
      <queryTableField id="84" name="Lead SE" tableColumnId="8"/>
      <queryTableField id="44" name="Sales Engagement_x000a_Hardware/Peripherals_x000a_Signed SO &amp; Approval" tableColumnId="23"/>
      <queryTableField id="45" name="Licensing/Juristictional Approval" tableColumnId="24"/>
      <queryTableField id="46" name="PM Project Prep_x000a_Scheduling" tableColumnId="25"/>
      <queryTableField id="47" name="Scheduling_x000a_Customer Email Introduction" tableColumnId="26"/>
      <queryTableField id="48" name="Internal/Exteranl Kickoff" tableColumnId="27"/>
      <queryTableField id="49" name="Requirements Gathering _x000a_Tech Plan_x000a_Customer Documentation" tableColumnId="28"/>
      <queryTableField id="50" name="RA/Network Topology" tableColumnId="29"/>
      <queryTableField id="51" name="Project Planning_x000a_Software Order" tableColumnId="30"/>
      <queryTableField id="52" name="Training_x000a_Deployment Plan Acceptance" tableColumnId="31"/>
      <queryTableField id="53" name="Sanity Check_x000a_Risk Assesment_x000a_Travel Planning_x000a_Server Verification" tableColumnId="32"/>
      <queryTableField id="54" name="Deployment Plan Evaluation" tableColumnId="33"/>
      <queryTableField id="55" name="Post Go Live RCA" tableColumnId="3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E56281-85E1-41E2-96A9-5C67438C433C}" name="Master" displayName="Master" ref="A5:O10" totalsRowShown="0" headerRowDxfId="1567" dataDxfId="1565" headerRowBorderDxfId="1566" tableBorderDxfId="1564" totalsRowBorderDxfId="1563">
  <autoFilter ref="A5:O10" xr:uid="{BEE56281-85E1-41E2-96A9-5C67438C433C}"/>
  <tableColumns count="15">
    <tableColumn id="8" xr3:uid="{FE5C1142-AEDF-4D48-AB3C-C1C98744836B}" name="OPP" dataDxfId="1562"/>
    <tableColumn id="1" xr3:uid="{D0B3AFFF-FBD7-464D-9C44-663F03426B6F}" name="Property" dataDxfId="1561"/>
    <tableColumn id="2" xr3:uid="{0B57C647-B58E-4DD3-A830-9120D448480F}" name="Go-Live Date" dataDxfId="1560"/>
    <tableColumn id="3" xr3:uid="{6A143E97-388C-4BFA-BA61-B4ADC680707A}" name="Sales Engagement_x000a_Hardware/Peripherals_x000a_Signed SO &amp; Approval" dataDxfId="1559">
      <calculatedColumnFormula>IF(ISBLANK(C6), "", C6 - 84)</calculatedColumnFormula>
    </tableColumn>
    <tableColumn id="4" xr3:uid="{7C0CA7A5-59F0-4DA4-A69D-50536F7E2097}" name="Licensing/Juristictional Approval" dataDxfId="1558">
      <calculatedColumnFormula>IF(ISBLANK(C6), "", C6 - 77)</calculatedColumnFormula>
    </tableColumn>
    <tableColumn id="5" xr3:uid="{566BE878-6132-41FD-A95F-A9C5D21477ED}" name="PM Project Prep_x000a_Scheduling" dataDxfId="1557">
      <calculatedColumnFormula>IF(ISBLANK(C6), "", C6 - 70)</calculatedColumnFormula>
    </tableColumn>
    <tableColumn id="6" xr3:uid="{E7EF3B5A-3D8D-4430-851B-2ECD094DEC73}" name="Scheduling_x000a_Customer Email Introduction" dataDxfId="1556">
      <calculatedColumnFormula>IF(ISBLANK(C6), "", C6 - 63)</calculatedColumnFormula>
    </tableColumn>
    <tableColumn id="7" xr3:uid="{FD893515-8D25-4908-8FBA-56CBF1EF2C90}" name="Internal/Exteranl Kickoff" dataDxfId="1555">
      <calculatedColumnFormula>IF(ISBLANK(C6), "", C6 - 56)</calculatedColumnFormula>
    </tableColumn>
    <tableColumn id="9" xr3:uid="{754146B7-4DAB-4D2B-8A72-DF8B01065824}" name="Requirements Gathering _x000a_Tech Plan_x000a_Customer Documentation" dataDxfId="1554">
      <calculatedColumnFormula>IF(ISBLANK(C6), "", C6 - 49)</calculatedColumnFormula>
    </tableColumn>
    <tableColumn id="10" xr3:uid="{70F3A484-4DF6-4ACC-85DA-FCE2A3A1AAA5}" name="RA/Network Topology" dataDxfId="1553">
      <calculatedColumnFormula>IF(ISBLANK(C6), "", C6 - 42)</calculatedColumnFormula>
    </tableColumn>
    <tableColumn id="11" xr3:uid="{7215B55E-92EC-47A3-8BFD-ECAA0CAFDA6D}" name="Project Planning_x000a_Software Order" dataDxfId="1552">
      <calculatedColumnFormula>IF(ISBLANK(C6), "", C6 - 35)</calculatedColumnFormula>
    </tableColumn>
    <tableColumn id="12" xr3:uid="{F95FB25A-78BE-4212-A832-A4AA35CED3FE}" name="Training_x000a_Deployment Plan Acceptance" dataDxfId="1551">
      <calculatedColumnFormula>IF(ISBLANK(C6), "", C6 - 28)</calculatedColumnFormula>
    </tableColumn>
    <tableColumn id="13" xr3:uid="{C0A422F4-331E-4FF9-AE84-2BCB6116B873}" name="Sanity Check_x000a_Risk Assesment_x000a_Travel Planning_x000a_Server Verification" dataDxfId="1550">
      <calculatedColumnFormula>IF(ISBLANK(C6), "", C6 - 21)</calculatedColumnFormula>
    </tableColumn>
    <tableColumn id="14" xr3:uid="{E096D8DD-F0D5-436A-8DF0-0634A5FD2325}" name="Deployment Plan Evaluation" dataDxfId="1549">
      <calculatedColumnFormula>IF(ISBLANK(C6), "", C6 - 14)</calculatedColumnFormula>
    </tableColumn>
    <tableColumn id="16" xr3:uid="{E58AAA85-97E2-4BF7-B05A-2A7426B22726}" name="Post Go Live RCA" dataDxfId="154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FC81DB6-DD77-493F-8E78-1F507F86D380}" name="Opportunity" displayName="Opportunity" ref="A5:U10" tableType="queryTable" totalsRowShown="0" headerRowDxfId="1079" dataDxfId="1078">
  <autoFilter ref="A5:U10" xr:uid="{7FC81DB6-DD77-493F-8E78-1F507F86D380}"/>
  <sortState xmlns:xlrd2="http://schemas.microsoft.com/office/spreadsheetml/2017/richdata2" ref="A6:U10">
    <sortCondition ref="D5:D10"/>
  </sortState>
  <tableColumns count="21">
    <tableColumn id="9" xr3:uid="{295DB513-E3BF-443D-B7AB-C2B5AA70713B}" uniqueName="9" name="Opp" queryTableFieldId="91" dataDxfId="452"/>
    <tableColumn id="2" xr3:uid="{67589821-0A58-4D41-A215-8C450EC9D215}" uniqueName="2" name="Account" queryTableFieldId="79" dataDxfId="451"/>
    <tableColumn id="21" xr3:uid="{4BC7BE7D-0747-44E2-AF56-5B8692C9F90F}" uniqueName="21" name="Property" queryTableFieldId="21" dataDxfId="450"/>
    <tableColumn id="4" xr3:uid="{76F0B908-38BF-494C-BEC4-BD2F87897C79}" uniqueName="4" name="Install Date" queryTableFieldId="80" dataDxfId="449"/>
    <tableColumn id="5" xr3:uid="{3DB8A0A1-AD15-42B4-B93F-8C8B7CE020E6}" uniqueName="5" name="Go Live Date" queryTableFieldId="81" dataDxfId="448"/>
    <tableColumn id="3" xr3:uid="{48CC9FF1-67A5-4E07-9A66-341F3F9F4C92}" uniqueName="3" name="Days Till Install" queryTableFieldId="77" dataDxfId="447"/>
    <tableColumn id="6" xr3:uid="{C91110FA-BC11-4F24-8E41-B463AC3DE868}" uniqueName="6" name="Progress" queryTableFieldId="82" dataDxfId="446"/>
    <tableColumn id="7" xr3:uid="{7189F2FC-DDBA-4701-BF9E-184F23E652F5}" uniqueName="7" name="Region" queryTableFieldId="83" dataDxfId="445"/>
    <tableColumn id="8" xr3:uid="{A2B24F52-00F5-4B80-BA82-7DA41A01095E}" uniqueName="8" name="Lead SE" queryTableFieldId="84" dataDxfId="444"/>
    <tableColumn id="23" xr3:uid="{0EAFA3EE-2520-4452-90F9-75C8B2DE5708}" uniqueName="23" name="Sales Engagement_x000a_Hardware/Peripherals_x000a_Signed SO &amp; Approval" queryTableFieldId="44" dataDxfId="443"/>
    <tableColumn id="24" xr3:uid="{E822DCF6-DC42-46F6-8416-BEB0F1F4E070}" uniqueName="24" name="Licensing/Juristictional Approval" queryTableFieldId="45" dataDxfId="442"/>
    <tableColumn id="25" xr3:uid="{690FDC2F-B3D7-445B-B297-18146026D8AD}" uniqueName="25" name="PM Project Prep_x000a_Scheduling" queryTableFieldId="46" dataDxfId="441"/>
    <tableColumn id="26" xr3:uid="{3E01A266-1822-4684-823E-3DFD99E08387}" uniqueName="26" name="Scheduling_x000a_Customer Email Introduction" queryTableFieldId="47" dataDxfId="440"/>
    <tableColumn id="27" xr3:uid="{E3FB4019-213D-48EA-BF92-0666E79AA0A0}" uniqueName="27" name="Internal/Exteranl Kickoff" queryTableFieldId="48" dataDxfId="439"/>
    <tableColumn id="28" xr3:uid="{F265B61A-BB89-43BE-B5CC-A2820BF3A548}" uniqueName="28" name="Requirements Gathering _x000a_Tech Plan_x000a_Customer Documentation" queryTableFieldId="49" dataDxfId="438"/>
    <tableColumn id="29" xr3:uid="{83D71AE7-69E8-458B-8BF5-2D8C8FBB9F44}" uniqueName="29" name="RA/Network Topology" queryTableFieldId="50" dataDxfId="437"/>
    <tableColumn id="30" xr3:uid="{427A6149-A5AB-40A8-9F68-C6A7A8B358A5}" uniqueName="30" name="Project Planning_x000a_Software Order" queryTableFieldId="51" dataDxfId="436"/>
    <tableColumn id="31" xr3:uid="{8F35D6A2-F680-4629-8925-9262335A8DAC}" uniqueName="31" name="Training_x000a_Deployment Plan Acceptance" queryTableFieldId="52" dataDxfId="435"/>
    <tableColumn id="32" xr3:uid="{93088491-0163-4600-9645-13FA9FDEAA0B}" uniqueName="32" name="Sanity Check_x000a_Risk Assesment_x000a_Travel Planning_x000a_Server Verification" queryTableFieldId="53" dataDxfId="434"/>
    <tableColumn id="33" xr3:uid="{C8C6C293-1FC9-4401-B9B4-D07ED0EFA5ED}" uniqueName="33" name="Deployment Plan Evaluation" queryTableFieldId="54" dataDxfId="433"/>
    <tableColumn id="34" xr3:uid="{00577992-5B94-467A-A797-C4127E0F8AD2}" uniqueName="34" name="Post Go Live RCA" queryTableFieldId="55" dataDxfId="432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B3EE60F-2F5E-426A-ADDD-1B4254222933}" name="Comp_Proj" displayName="Comp_Proj" ref="A5:U10" totalsRowShown="0" headerRowDxfId="885">
  <autoFilter ref="A5:U10" xr:uid="{DB3EE60F-2F5E-426A-ADDD-1B4254222933}"/>
  <tableColumns count="21">
    <tableColumn id="1" xr3:uid="{857DC7DC-DF45-4DAA-8933-4D44F3C29E7B}" name="Opp"/>
    <tableColumn id="2" xr3:uid="{2C729062-861B-43A4-9E09-C0A1E85071EE}" name="Account"/>
    <tableColumn id="3" xr3:uid="{7796E2D5-7935-4B23-B435-1EC909644E66}" name="Property"/>
    <tableColumn id="4" xr3:uid="{494D59C4-2318-4751-AFB6-4F25768F7ACB}" name="Install Date"/>
    <tableColumn id="5" xr3:uid="{78D59E53-78AA-4065-BE0E-B63373B77679}" name="Go Live Date"/>
    <tableColumn id="6" xr3:uid="{11C3EB1B-66E7-4B33-BF06-9288672A6D83}" name="Days Till Install"/>
    <tableColumn id="7" xr3:uid="{468086D5-B133-44D3-ABF5-E417CCC641F2}" name="Progress"/>
    <tableColumn id="8" xr3:uid="{B6768425-D060-45B2-810C-7EB52CEECC85}" name="Region"/>
    <tableColumn id="9" xr3:uid="{AFCDEDFA-DC18-4BFD-9CAF-C199666A36E0}" name="Lead SE"/>
    <tableColumn id="10" xr3:uid="{976D28FE-0F97-4ED0-A059-D4E3D79CA73A}" name="Sales Engagement_x000a_Hardware/Peripherals_x000a_Signed SO &amp; Approval"/>
    <tableColumn id="11" xr3:uid="{B023CA05-3849-4E35-8488-054BB26120A0}" name="Licensing/Juristictional Approval"/>
    <tableColumn id="12" xr3:uid="{ECEB7F5F-0C51-4AE7-8BA4-D349AC10F9A4}" name="PM Project Prep_x000a_Scheduling"/>
    <tableColumn id="13" xr3:uid="{7ADACBBF-6615-44DC-BCBC-E29D7D9B8F6C}" name="Scheduling_x000a_Customer Email Introduction"/>
    <tableColumn id="14" xr3:uid="{A72294B4-D84D-40D8-8BD1-D809BDA129CE}" name="Internal/Exteranl Kickoff"/>
    <tableColumn id="15" xr3:uid="{6349701F-A8A3-4798-8CE1-6D1DF28DB48F}" name="Requirements Gathering _x000a_Tech Plan_x000a_Customer Documentation"/>
    <tableColumn id="16" xr3:uid="{1BF5B8C2-8EE1-4E68-89C8-DAEFF9A3478C}" name="RA/Network Topology"/>
    <tableColumn id="17" xr3:uid="{F74B93BB-455A-46CF-B92F-1E055BCC2583}" name="Project Planning_x000a_Software Order"/>
    <tableColumn id="18" xr3:uid="{779D0710-DF62-4F09-B534-6E372CA8307F}" name="Training_x000a_Deployment Plan Acceptance"/>
    <tableColumn id="19" xr3:uid="{7521746D-BECC-433E-87DF-C3E17D202B6E}" name="Sanity Check_x000a_Risk Assesment_x000a_Travel Planning_x000a_Server Verification"/>
    <tableColumn id="20" xr3:uid="{6AE4E4DA-3049-4032-ABE4-BCE4C017379E}" name="Deployment Plan Evaluation"/>
    <tableColumn id="21" xr3:uid="{C443E939-CD79-4D5C-B81A-B1DD033C80B4}" name="Post Go Live RC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2B7F4-BB3E-43D3-AE33-7394D427BAF9}">
  <sheetPr codeName="Sheet1"/>
  <dimension ref="A1:O10"/>
  <sheetViews>
    <sheetView zoomScale="70" zoomScaleNormal="70" workbookViewId="0">
      <selection activeCell="H23" sqref="H22:H23"/>
    </sheetView>
  </sheetViews>
  <sheetFormatPr defaultRowHeight="14.25" x14ac:dyDescent="0.2"/>
  <cols>
    <col min="1" max="1" width="21" style="1" customWidth="1"/>
    <col min="2" max="2" width="35.28515625" style="1" bestFit="1" customWidth="1"/>
    <col min="3" max="3" width="17" style="1" customWidth="1"/>
    <col min="4" max="4" width="21.5703125" style="1" bestFit="1" customWidth="1"/>
    <col min="5" max="5" width="37.5703125" style="1" bestFit="1" customWidth="1"/>
    <col min="6" max="6" width="25.140625" style="1" bestFit="1" customWidth="1"/>
    <col min="7" max="7" width="18.42578125" style="1" bestFit="1" customWidth="1"/>
    <col min="8" max="8" width="24.42578125" style="1" customWidth="1"/>
    <col min="9" max="9" width="17.85546875" style="1" customWidth="1"/>
    <col min="10" max="10" width="12.7109375" style="1" customWidth="1"/>
    <col min="11" max="12" width="12" style="1" bestFit="1" customWidth="1"/>
    <col min="13" max="14" width="13.42578125" style="1" bestFit="1" customWidth="1"/>
    <col min="15" max="15" width="11.7109375" style="1" bestFit="1" customWidth="1"/>
    <col min="16" max="16384" width="9.140625" style="1"/>
  </cols>
  <sheetData>
    <row r="1" spans="1:15" ht="15" customHeight="1" x14ac:dyDescent="0.2">
      <c r="A1" s="3" t="s">
        <v>7</v>
      </c>
      <c r="B1" s="31" t="s">
        <v>6</v>
      </c>
      <c r="C1" s="32"/>
      <c r="D1" s="32"/>
      <c r="E1" s="32"/>
      <c r="F1" s="32"/>
      <c r="G1" s="32"/>
      <c r="H1" s="32"/>
      <c r="I1" s="33"/>
      <c r="J1" s="29"/>
    </row>
    <row r="2" spans="1:15" ht="14.25" customHeight="1" x14ac:dyDescent="0.2">
      <c r="A2" s="29">
        <f ca="1" xml:space="preserve"> TODAY()</f>
        <v>45429</v>
      </c>
      <c r="B2" s="34"/>
      <c r="C2" s="35"/>
      <c r="D2" s="35"/>
      <c r="E2" s="35"/>
      <c r="F2" s="35"/>
      <c r="G2" s="35"/>
      <c r="H2" s="35"/>
      <c r="I2" s="36"/>
      <c r="J2" s="30"/>
    </row>
    <row r="3" spans="1:15" ht="15" customHeight="1" thickBot="1" x14ac:dyDescent="0.25">
      <c r="A3" s="30"/>
      <c r="B3" s="34"/>
      <c r="C3" s="35"/>
      <c r="D3" s="35"/>
      <c r="E3" s="35"/>
      <c r="F3" s="35"/>
      <c r="G3" s="35"/>
      <c r="H3" s="35"/>
      <c r="I3" s="36"/>
      <c r="J3" s="9"/>
    </row>
    <row r="4" spans="1:15" s="2" customFormat="1" ht="15.75" thickBot="1" x14ac:dyDescent="0.25">
      <c r="A4" s="10"/>
      <c r="B4" s="7"/>
      <c r="C4" s="8"/>
      <c r="D4" s="12" t="s">
        <v>50</v>
      </c>
      <c r="E4" s="8" t="s">
        <v>49</v>
      </c>
      <c r="F4" s="8" t="s">
        <v>48</v>
      </c>
      <c r="G4" s="8" t="s">
        <v>47</v>
      </c>
      <c r="H4" s="8" t="s">
        <v>46</v>
      </c>
      <c r="I4" s="8" t="s">
        <v>45</v>
      </c>
      <c r="J4" s="8" t="s">
        <v>44</v>
      </c>
      <c r="K4" s="8" t="s">
        <v>43</v>
      </c>
      <c r="L4" s="8" t="s">
        <v>42</v>
      </c>
      <c r="M4" s="8" t="s">
        <v>41</v>
      </c>
      <c r="N4" s="8" t="s">
        <v>40</v>
      </c>
      <c r="O4" s="8" t="s">
        <v>51</v>
      </c>
    </row>
    <row r="5" spans="1:15" ht="114" x14ac:dyDescent="0.2">
      <c r="A5" s="4" t="s">
        <v>12</v>
      </c>
      <c r="B5" s="5" t="s">
        <v>1</v>
      </c>
      <c r="C5" s="5" t="s">
        <v>74</v>
      </c>
      <c r="D5" s="14" t="s">
        <v>39</v>
      </c>
      <c r="E5" s="14" t="s">
        <v>38</v>
      </c>
      <c r="F5" s="14" t="s">
        <v>37</v>
      </c>
      <c r="G5" s="14" t="s">
        <v>36</v>
      </c>
      <c r="H5" s="14" t="s">
        <v>35</v>
      </c>
      <c r="I5" s="14" t="s">
        <v>34</v>
      </c>
      <c r="J5" s="14" t="s">
        <v>33</v>
      </c>
      <c r="K5" s="14" t="s">
        <v>32</v>
      </c>
      <c r="L5" s="14" t="s">
        <v>31</v>
      </c>
      <c r="M5" s="14" t="s">
        <v>30</v>
      </c>
      <c r="N5" s="15" t="s">
        <v>29</v>
      </c>
      <c r="O5" s="15" t="s">
        <v>28</v>
      </c>
    </row>
    <row r="6" spans="1:15" x14ac:dyDescent="0.2">
      <c r="A6" s="1" t="s">
        <v>13</v>
      </c>
      <c r="B6" s="1" t="s">
        <v>2</v>
      </c>
      <c r="C6" s="24">
        <v>45380</v>
      </c>
      <c r="D6" s="6">
        <f t="shared" ref="D6:D9" si="0">IF(ISBLANK(C6), "", C6 - 84)</f>
        <v>45296</v>
      </c>
      <c r="E6" s="6">
        <f t="shared" ref="E6:E8" si="1">IF(ISBLANK(C6), "", C6 - 77)</f>
        <v>45303</v>
      </c>
      <c r="F6" s="6">
        <f t="shared" ref="F6:F8" si="2">IF(ISBLANK(C6), "", C6 - 70)</f>
        <v>45310</v>
      </c>
      <c r="G6" s="6">
        <f t="shared" ref="G6:G8" si="3">IF(ISBLANK(C6), "", C6 - 63)</f>
        <v>45317</v>
      </c>
      <c r="H6" s="6">
        <f t="shared" ref="H6:H8" si="4">IF(ISBLANK(C6), "", C6 - 56)</f>
        <v>45324</v>
      </c>
      <c r="I6" s="16">
        <f t="shared" ref="I6:I8" si="5">IF(ISBLANK(C6), "", C6 - 49)</f>
        <v>45331</v>
      </c>
      <c r="J6" s="6">
        <f t="shared" ref="J6:J8" si="6">IF(ISBLANK(C6), "", C6 - 42)</f>
        <v>45338</v>
      </c>
      <c r="K6" s="6">
        <f t="shared" ref="K6:K8" si="7">IF(ISBLANK(C6), "", C6 - 35)</f>
        <v>45345</v>
      </c>
      <c r="L6" s="13">
        <f t="shared" ref="L6:L8" si="8">IF(ISBLANK(C6), "", C6 - 28)</f>
        <v>45352</v>
      </c>
      <c r="M6" s="6">
        <f t="shared" ref="M6:M8" si="9">IF(ISBLANK(C6), "", C6 - 21)</f>
        <v>45359</v>
      </c>
      <c r="N6" s="6">
        <f t="shared" ref="N6:N8" si="10">IF(ISBLANK(C6), "", C6 - 14)</f>
        <v>45366</v>
      </c>
      <c r="O6" s="6"/>
    </row>
    <row r="7" spans="1:15" x14ac:dyDescent="0.2">
      <c r="A7" s="1" t="s">
        <v>20</v>
      </c>
      <c r="B7" s="1" t="s">
        <v>10</v>
      </c>
      <c r="C7" s="24"/>
      <c r="D7" s="6" t="str">
        <f t="shared" si="0"/>
        <v/>
      </c>
      <c r="E7" s="6" t="str">
        <f t="shared" si="1"/>
        <v/>
      </c>
      <c r="F7" s="6" t="str">
        <f t="shared" si="2"/>
        <v/>
      </c>
      <c r="G7" s="6" t="str">
        <f t="shared" si="3"/>
        <v/>
      </c>
      <c r="H7" s="6" t="str">
        <f t="shared" si="4"/>
        <v/>
      </c>
      <c r="I7" s="16" t="str">
        <f t="shared" si="5"/>
        <v/>
      </c>
      <c r="J7" s="6" t="str">
        <f t="shared" si="6"/>
        <v/>
      </c>
      <c r="K7" s="11" t="str">
        <f t="shared" si="7"/>
        <v/>
      </c>
      <c r="L7" s="13" t="str">
        <f t="shared" si="8"/>
        <v/>
      </c>
      <c r="M7" s="11" t="str">
        <f t="shared" si="9"/>
        <v/>
      </c>
      <c r="N7" s="11" t="str">
        <f t="shared" si="10"/>
        <v/>
      </c>
      <c r="O7" s="11"/>
    </row>
    <row r="8" spans="1:15" x14ac:dyDescent="0.2">
      <c r="A8" s="1" t="s">
        <v>68</v>
      </c>
      <c r="B8" s="1" t="s">
        <v>69</v>
      </c>
      <c r="C8" s="24">
        <v>45520</v>
      </c>
      <c r="D8" s="6">
        <f t="shared" si="0"/>
        <v>45436</v>
      </c>
      <c r="E8" s="6">
        <f t="shared" si="1"/>
        <v>45443</v>
      </c>
      <c r="F8" s="6">
        <f t="shared" si="2"/>
        <v>45450</v>
      </c>
      <c r="G8" s="6">
        <f t="shared" si="3"/>
        <v>45457</v>
      </c>
      <c r="H8" s="6">
        <f t="shared" si="4"/>
        <v>45464</v>
      </c>
      <c r="I8" s="16">
        <f t="shared" si="5"/>
        <v>45471</v>
      </c>
      <c r="J8" s="6">
        <f t="shared" si="6"/>
        <v>45478</v>
      </c>
      <c r="K8" s="6">
        <f t="shared" si="7"/>
        <v>45485</v>
      </c>
      <c r="L8" s="13">
        <f t="shared" si="8"/>
        <v>45492</v>
      </c>
      <c r="M8" s="6">
        <f t="shared" si="9"/>
        <v>45499</v>
      </c>
      <c r="N8" s="6">
        <f t="shared" si="10"/>
        <v>45506</v>
      </c>
      <c r="O8" s="6"/>
    </row>
    <row r="9" spans="1:15" x14ac:dyDescent="0.2">
      <c r="A9" s="1" t="s">
        <v>18</v>
      </c>
      <c r="B9" s="1" t="s">
        <v>9</v>
      </c>
      <c r="C9" s="24">
        <v>45493</v>
      </c>
      <c r="D9" s="6">
        <f t="shared" si="0"/>
        <v>45409</v>
      </c>
      <c r="E9" s="6">
        <f>IF(ISBLANK(C9), "", C9 - 77)</f>
        <v>45416</v>
      </c>
      <c r="F9" s="6">
        <f>IF(ISBLANK(C9), "", C9 - 70)</f>
        <v>45423</v>
      </c>
      <c r="G9" s="6">
        <f>IF(ISBLANK(C9), "", C9 - 63)</f>
        <v>45430</v>
      </c>
      <c r="H9" s="6">
        <f>IF(ISBLANK(C9), "", C9 - 56)</f>
        <v>45437</v>
      </c>
      <c r="I9" s="6">
        <f>IF(ISBLANK(C9), "", C9 - 49)</f>
        <v>45444</v>
      </c>
      <c r="J9" s="6">
        <f>IF(ISBLANK(C9), "", C9 - 42)</f>
        <v>45451</v>
      </c>
      <c r="K9" s="6">
        <f>IF(ISBLANK(C9), "", C9 - 35)</f>
        <v>45458</v>
      </c>
      <c r="L9" s="11">
        <f>IF(ISBLANK(C9), "", C9 - 28)</f>
        <v>45465</v>
      </c>
      <c r="M9" s="6">
        <f>IF(ISBLANK(C9), "", C9 - 21)</f>
        <v>45472</v>
      </c>
      <c r="N9" s="6">
        <f>IF(ISBLANK(C9), "", C9 - 14)</f>
        <v>45479</v>
      </c>
      <c r="O9" s="6"/>
    </row>
    <row r="10" spans="1:15" x14ac:dyDescent="0.2">
      <c r="A10" s="26" t="s">
        <v>75</v>
      </c>
      <c r="B10" s="27" t="s">
        <v>76</v>
      </c>
      <c r="C10" s="28"/>
      <c r="D10" s="28" t="str">
        <f>IF(ISBLANK(C10), "", C10 - 84)</f>
        <v/>
      </c>
      <c r="E10" s="6" t="str">
        <f>IF(ISBLANK(C10), "", C10 - 77)</f>
        <v/>
      </c>
      <c r="F10" s="6" t="str">
        <f>IF(ISBLANK(C10), "", C10 - 70)</f>
        <v/>
      </c>
      <c r="G10" s="6" t="str">
        <f>IF(ISBLANK(C10), "", C10 - 63)</f>
        <v/>
      </c>
      <c r="H10" s="6" t="str">
        <f>IF(ISBLANK(C10), "", C10 - 56)</f>
        <v/>
      </c>
      <c r="I10" s="6" t="str">
        <f>IF(ISBLANK(C10), "", C10 - 49)</f>
        <v/>
      </c>
      <c r="J10" s="6" t="str">
        <f>IF(ISBLANK(C10), "", C10 - 42)</f>
        <v/>
      </c>
      <c r="K10" s="6" t="str">
        <f>IF(ISBLANK(C10), "", C10 - 35)</f>
        <v/>
      </c>
      <c r="L10" s="11" t="str">
        <f>IF(ISBLANK(C10), "", C10 - 28)</f>
        <v/>
      </c>
      <c r="M10" s="6" t="str">
        <f>IF(ISBLANK(C10), "", C10 - 21)</f>
        <v/>
      </c>
      <c r="N10" s="6" t="str">
        <f>IF(ISBLANK(C10), "", C10 - 14)</f>
        <v/>
      </c>
      <c r="O10" s="6"/>
    </row>
  </sheetData>
  <mergeCells count="3">
    <mergeCell ref="A2:A3"/>
    <mergeCell ref="B1:I3"/>
    <mergeCell ref="J1:J2"/>
  </mergeCells>
  <conditionalFormatting sqref="D6:D10">
    <cfRule type="expression" dxfId="1582" priority="19">
      <formula>$D6-TODAY()&gt;40</formula>
    </cfRule>
    <cfRule type="expression" dxfId="1581" priority="20">
      <formula>AND($D6-TODAY()&gt;=30, $D6-TODAY()&lt;=40)</formula>
    </cfRule>
    <cfRule type="expression" dxfId="1580" priority="21">
      <formula>AND($D6&lt;&gt;"", $D6-TODAY()&lt;30)</formula>
    </cfRule>
  </conditionalFormatting>
  <conditionalFormatting sqref="E6:E10 G6:H10">
    <cfRule type="expression" dxfId="1579" priority="16">
      <formula>AND($D6&lt;&gt;"", $D6-TODAY()&lt;30)</formula>
    </cfRule>
    <cfRule type="expression" dxfId="1578" priority="17">
      <formula>AND($D6-TODAY()&gt;=30, $D6-TODAY()&lt;=40)</formula>
    </cfRule>
    <cfRule type="expression" dxfId="1577" priority="18">
      <formula>$D6-TODAY()&gt;40</formula>
    </cfRule>
  </conditionalFormatting>
  <conditionalFormatting sqref="E6:F10">
    <cfRule type="expression" dxfId="1576" priority="14">
      <formula>AND($D6-TODAY()&gt;=30, $D6-TODAY()&lt;=40)</formula>
    </cfRule>
  </conditionalFormatting>
  <conditionalFormatting sqref="F6:F10">
    <cfRule type="expression" dxfId="1575" priority="13">
      <formula>AND($D6&lt;&gt;"", $D6-TODAY()&lt;30)</formula>
    </cfRule>
    <cfRule type="expression" dxfId="1574" priority="15">
      <formula>$D6-TODAY()&gt;40</formula>
    </cfRule>
  </conditionalFormatting>
  <conditionalFormatting sqref="M6:M10">
    <cfRule type="expression" dxfId="1573" priority="4">
      <formula>$E6-TODAY()&gt;40</formula>
    </cfRule>
    <cfRule type="expression" dxfId="1572" priority="5">
      <formula>AND($E6-TODAY()&gt;=30, $E6-TODAY()&lt;=40)</formula>
    </cfRule>
    <cfRule type="expression" dxfId="1571" priority="6">
      <formula>AND($E6&lt;&gt;"", $E6-TODAY()&lt;30)</formula>
    </cfRule>
  </conditionalFormatting>
  <conditionalFormatting sqref="N6:N10">
    <cfRule type="expression" dxfId="1570" priority="1">
      <formula>AND($E6&lt;&gt;"", $E6-TODAY()&lt;30)</formula>
    </cfRule>
    <cfRule type="expression" dxfId="1569" priority="2">
      <formula>AND($E6-TODAY()&gt;=30, $E6-TODAY()&lt;=40)</formula>
    </cfRule>
    <cfRule type="expression" dxfId="1568" priority="3">
      <formula>$E6-TODAY()&gt;40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CF80A-D851-464A-BD6D-DF55A088FBF5}">
  <sheetPr codeName="Sheet2"/>
  <dimension ref="A1:U10"/>
  <sheetViews>
    <sheetView tabSelected="1" workbookViewId="0">
      <selection activeCell="A11" sqref="A11"/>
    </sheetView>
  </sheetViews>
  <sheetFormatPr defaultRowHeight="14.25" x14ac:dyDescent="0.2"/>
  <cols>
    <col min="1" max="1" width="13.42578125" style="1" bestFit="1" customWidth="1"/>
    <col min="2" max="2" width="61.5703125" style="1" bestFit="1" customWidth="1"/>
    <col min="3" max="3" width="35.28515625" style="1" bestFit="1" customWidth="1"/>
    <col min="4" max="4" width="14.85546875" style="1" bestFit="1" customWidth="1"/>
    <col min="5" max="5" width="16.140625" style="1" bestFit="1" customWidth="1"/>
    <col min="6" max="6" width="18.5703125" style="1" bestFit="1" customWidth="1"/>
    <col min="7" max="7" width="12.42578125" style="1" bestFit="1" customWidth="1"/>
    <col min="8" max="8" width="10.42578125" style="1" bestFit="1" customWidth="1"/>
    <col min="9" max="9" width="17" style="1" bestFit="1" customWidth="1"/>
    <col min="10" max="10" width="25.5703125" style="1" bestFit="1" customWidth="1"/>
    <col min="11" max="11" width="36.5703125" style="1" bestFit="1" customWidth="1"/>
    <col min="12" max="13" width="19.28515625" style="1" bestFit="1" customWidth="1"/>
    <col min="14" max="14" width="28.42578125" style="1" bestFit="1" customWidth="1"/>
    <col min="15" max="15" width="29.7109375" style="1" bestFit="1" customWidth="1"/>
    <col min="16" max="16" width="26" style="1" bestFit="1" customWidth="1"/>
    <col min="17" max="17" width="19.85546875" style="1" bestFit="1" customWidth="1"/>
    <col min="18" max="18" width="20.5703125" style="1" bestFit="1" customWidth="1"/>
    <col min="19" max="19" width="22.140625" style="1" bestFit="1" customWidth="1"/>
    <col min="20" max="20" width="31.85546875" style="1" bestFit="1" customWidth="1"/>
    <col min="21" max="21" width="20.85546875" style="1" bestFit="1" customWidth="1"/>
    <col min="22" max="22" width="23.140625" style="1" bestFit="1" customWidth="1"/>
    <col min="23" max="23" width="33.140625" style="1" bestFit="1" customWidth="1"/>
    <col min="24" max="24" width="38.28515625" style="1" bestFit="1" customWidth="1"/>
    <col min="25" max="25" width="63.42578125" style="1" bestFit="1" customWidth="1"/>
    <col min="26" max="26" width="28.85546875" style="1" bestFit="1" customWidth="1"/>
    <col min="27" max="28" width="18.28515625" style="1" bestFit="1" customWidth="1"/>
    <col min="29" max="29" width="62.140625" style="1" bestFit="1" customWidth="1"/>
    <col min="30" max="30" width="32.7109375" style="1" bestFit="1" customWidth="1"/>
    <col min="31" max="31" width="29" style="1" bestFit="1" customWidth="1"/>
    <col min="32" max="32" width="40.42578125" style="1" bestFit="1" customWidth="1"/>
    <col min="33" max="33" width="25.42578125" style="1" bestFit="1" customWidth="1"/>
    <col min="34" max="34" width="60.5703125" style="1" bestFit="1" customWidth="1"/>
    <col min="35" max="35" width="23.140625" style="1" bestFit="1" customWidth="1"/>
    <col min="36" max="36" width="33.140625" style="1" bestFit="1" customWidth="1"/>
    <col min="37" max="37" width="38.28515625" style="1" bestFit="1" customWidth="1"/>
    <col min="38" max="38" width="63.42578125" style="1" bestFit="1" customWidth="1"/>
    <col min="39" max="39" width="28.85546875" style="1" bestFit="1" customWidth="1"/>
    <col min="40" max="40" width="18.28515625" style="1" bestFit="1" customWidth="1"/>
    <col min="41" max="41" width="19.5703125" style="1" bestFit="1" customWidth="1"/>
    <col min="42" max="42" width="33.7109375" style="1" bestFit="1" customWidth="1"/>
    <col min="43" max="43" width="22.85546875" style="1" bestFit="1" customWidth="1"/>
    <col min="44" max="44" width="16.5703125" style="1" bestFit="1" customWidth="1"/>
    <col min="45" max="45" width="22" style="1" bestFit="1" customWidth="1"/>
    <col min="46" max="46" width="11.85546875" style="1" bestFit="1" customWidth="1"/>
    <col min="47" max="47" width="8.7109375" style="1" bestFit="1" customWidth="1"/>
    <col min="48" max="48" width="10.7109375" style="1" bestFit="1" customWidth="1"/>
    <col min="49" max="49" width="32.85546875" style="1" bestFit="1" customWidth="1"/>
    <col min="50" max="50" width="13.28515625" style="1" bestFit="1" customWidth="1"/>
    <col min="51" max="51" width="19.5703125" style="1" bestFit="1" customWidth="1"/>
    <col min="52" max="52" width="33.7109375" style="1" bestFit="1" customWidth="1"/>
    <col min="53" max="53" width="22.85546875" style="1" bestFit="1" customWidth="1"/>
    <col min="54" max="54" width="16.5703125" style="1" bestFit="1" customWidth="1"/>
    <col min="55" max="55" width="22" style="1" bestFit="1" customWidth="1"/>
    <col min="56" max="56" width="11.85546875" style="1" bestFit="1" customWidth="1"/>
    <col min="57" max="57" width="8.7109375" style="1" bestFit="1" customWidth="1"/>
    <col min="58" max="16384" width="9.140625" style="1"/>
  </cols>
  <sheetData>
    <row r="1" spans="1:21" ht="15.75" customHeight="1" x14ac:dyDescent="0.2">
      <c r="A1" s="23" t="s">
        <v>7</v>
      </c>
      <c r="B1" s="37" t="s">
        <v>6</v>
      </c>
      <c r="C1" s="38"/>
      <c r="D1" s="38"/>
      <c r="E1" s="38"/>
      <c r="F1" s="38"/>
      <c r="G1" s="38"/>
      <c r="H1" s="38"/>
      <c r="I1" s="3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</row>
    <row r="2" spans="1:21" ht="15" customHeight="1" x14ac:dyDescent="0.2">
      <c r="A2" s="46">
        <f ca="1" xml:space="preserve"> TODAY()</f>
        <v>45429</v>
      </c>
      <c r="B2" s="40"/>
      <c r="C2" s="41"/>
      <c r="D2" s="41"/>
      <c r="E2" s="41"/>
      <c r="F2" s="41"/>
      <c r="G2" s="41"/>
      <c r="H2" s="41"/>
      <c r="I2" s="42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2"/>
    </row>
    <row r="3" spans="1:21" ht="15" customHeight="1" thickBot="1" x14ac:dyDescent="0.25">
      <c r="A3" s="47"/>
      <c r="B3" s="43"/>
      <c r="C3" s="44"/>
      <c r="D3" s="44"/>
      <c r="E3" s="44"/>
      <c r="F3" s="44"/>
      <c r="G3" s="44"/>
      <c r="H3" s="44"/>
      <c r="I3" s="45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4"/>
    </row>
    <row r="4" spans="1:21" s="19" customFormat="1" ht="18" x14ac:dyDescent="0.25">
      <c r="A4" s="48" t="s">
        <v>66</v>
      </c>
      <c r="B4" s="48"/>
      <c r="C4" s="48"/>
      <c r="D4" s="48"/>
      <c r="E4" s="48"/>
      <c r="F4" s="48"/>
      <c r="G4" s="48"/>
      <c r="H4" s="48"/>
      <c r="I4" s="48"/>
      <c r="J4" s="17" t="s">
        <v>50</v>
      </c>
      <c r="K4" s="18" t="s">
        <v>49</v>
      </c>
      <c r="L4" s="18" t="s">
        <v>48</v>
      </c>
      <c r="M4" s="18" t="s">
        <v>47</v>
      </c>
      <c r="N4" s="18" t="s">
        <v>46</v>
      </c>
      <c r="O4" s="18" t="s">
        <v>45</v>
      </c>
      <c r="P4" s="18" t="s">
        <v>44</v>
      </c>
      <c r="Q4" s="18" t="s">
        <v>43</v>
      </c>
      <c r="R4" s="18" t="s">
        <v>42</v>
      </c>
      <c r="S4" s="18" t="s">
        <v>41</v>
      </c>
      <c r="T4" s="18" t="s">
        <v>40</v>
      </c>
      <c r="U4" s="18" t="s">
        <v>51</v>
      </c>
    </row>
    <row r="5" spans="1:21" s="22" customFormat="1" ht="57" x14ac:dyDescent="0.25">
      <c r="A5" s="20" t="s">
        <v>67</v>
      </c>
      <c r="B5" s="21" t="s">
        <v>60</v>
      </c>
      <c r="C5" s="22" t="s">
        <v>1</v>
      </c>
      <c r="D5" s="22" t="s">
        <v>0</v>
      </c>
      <c r="E5" s="22" t="s">
        <v>61</v>
      </c>
      <c r="F5" s="22" t="s">
        <v>62</v>
      </c>
      <c r="G5" s="22" t="s">
        <v>63</v>
      </c>
      <c r="H5" s="22" t="s">
        <v>64</v>
      </c>
      <c r="I5" s="22" t="s">
        <v>65</v>
      </c>
      <c r="J5" s="22" t="s">
        <v>39</v>
      </c>
      <c r="K5" s="22" t="s">
        <v>38</v>
      </c>
      <c r="L5" s="22" t="s">
        <v>37</v>
      </c>
      <c r="M5" s="22" t="s">
        <v>36</v>
      </c>
      <c r="N5" s="22" t="s">
        <v>35</v>
      </c>
      <c r="O5" s="22" t="s">
        <v>34</v>
      </c>
      <c r="P5" s="22" t="s">
        <v>33</v>
      </c>
      <c r="Q5" s="22" t="s">
        <v>32</v>
      </c>
      <c r="R5" s="22" t="s">
        <v>31</v>
      </c>
      <c r="S5" s="22" t="s">
        <v>30</v>
      </c>
      <c r="T5" s="22" t="s">
        <v>29</v>
      </c>
      <c r="U5" s="22" t="s">
        <v>28</v>
      </c>
    </row>
    <row r="6" spans="1:21" x14ac:dyDescent="0.2">
      <c r="A6" s="1" t="s">
        <v>13</v>
      </c>
      <c r="B6" s="1" t="s">
        <v>53</v>
      </c>
      <c r="C6" s="1" t="s">
        <v>2</v>
      </c>
      <c r="D6" s="24">
        <v>45380</v>
      </c>
      <c r="E6" s="24">
        <v>45380</v>
      </c>
      <c r="F6" s="1">
        <v>-49</v>
      </c>
      <c r="G6" s="1" t="s">
        <v>24</v>
      </c>
      <c r="H6" s="1" t="s">
        <v>23</v>
      </c>
      <c r="I6" s="1" t="s">
        <v>26</v>
      </c>
      <c r="J6" s="24">
        <v>45296</v>
      </c>
      <c r="K6" s="24">
        <v>45303</v>
      </c>
      <c r="L6" s="24">
        <v>45310</v>
      </c>
      <c r="M6" s="24">
        <v>45317</v>
      </c>
      <c r="N6" s="24">
        <v>45324</v>
      </c>
      <c r="O6" s="24">
        <v>45331</v>
      </c>
      <c r="P6" s="24">
        <v>45338</v>
      </c>
      <c r="Q6" s="24">
        <v>45345</v>
      </c>
      <c r="R6" s="24">
        <v>45352</v>
      </c>
      <c r="S6" s="24">
        <v>45359</v>
      </c>
      <c r="T6" s="24">
        <v>45366</v>
      </c>
      <c r="U6" s="24"/>
    </row>
    <row r="7" spans="1:21" x14ac:dyDescent="0.2">
      <c r="A7" s="1" t="s">
        <v>18</v>
      </c>
      <c r="B7" s="1" t="s">
        <v>59</v>
      </c>
      <c r="C7" s="1" t="s">
        <v>9</v>
      </c>
      <c r="D7" s="24">
        <v>45471</v>
      </c>
      <c r="E7" s="24">
        <v>45493</v>
      </c>
      <c r="F7" s="1">
        <v>42</v>
      </c>
      <c r="G7" s="1" t="s">
        <v>24</v>
      </c>
      <c r="H7" s="1" t="s">
        <v>23</v>
      </c>
      <c r="J7" s="24">
        <v>45409</v>
      </c>
      <c r="K7" s="24">
        <v>45416</v>
      </c>
      <c r="L7" s="24">
        <v>45423</v>
      </c>
      <c r="M7" s="24">
        <v>45430</v>
      </c>
      <c r="N7" s="24">
        <v>45437</v>
      </c>
      <c r="O7" s="24">
        <v>45444</v>
      </c>
      <c r="P7" s="24">
        <v>45451</v>
      </c>
      <c r="Q7" s="24">
        <v>45458</v>
      </c>
      <c r="R7" s="24">
        <v>45465</v>
      </c>
      <c r="S7" s="24">
        <v>45472</v>
      </c>
      <c r="T7" s="24">
        <v>45479</v>
      </c>
      <c r="U7" s="24"/>
    </row>
    <row r="8" spans="1:21" x14ac:dyDescent="0.2">
      <c r="A8" s="1" t="s">
        <v>75</v>
      </c>
      <c r="B8" s="1" t="s">
        <v>77</v>
      </c>
      <c r="C8" s="1" t="s">
        <v>76</v>
      </c>
      <c r="D8" s="24">
        <v>45471</v>
      </c>
      <c r="E8" s="24"/>
      <c r="F8" s="1">
        <v>42</v>
      </c>
      <c r="G8" s="1" t="s">
        <v>78</v>
      </c>
      <c r="H8" s="1" t="s">
        <v>21</v>
      </c>
      <c r="J8" s="24" t="s">
        <v>73</v>
      </c>
      <c r="K8" s="24" t="s">
        <v>73</v>
      </c>
      <c r="L8" s="24" t="s">
        <v>73</v>
      </c>
      <c r="M8" s="24" t="s">
        <v>73</v>
      </c>
      <c r="N8" s="24" t="s">
        <v>73</v>
      </c>
      <c r="O8" s="24" t="s">
        <v>73</v>
      </c>
      <c r="P8" s="24" t="s">
        <v>73</v>
      </c>
      <c r="Q8" s="24" t="s">
        <v>73</v>
      </c>
      <c r="R8" s="24" t="s">
        <v>73</v>
      </c>
      <c r="S8" s="24" t="s">
        <v>73</v>
      </c>
      <c r="T8" s="24" t="s">
        <v>73</v>
      </c>
      <c r="U8" s="24"/>
    </row>
    <row r="9" spans="1:21" x14ac:dyDescent="0.2">
      <c r="A9" s="1" t="s">
        <v>68</v>
      </c>
      <c r="B9" s="1" t="s">
        <v>70</v>
      </c>
      <c r="C9" s="1" t="s">
        <v>69</v>
      </c>
      <c r="D9" s="24">
        <v>45473</v>
      </c>
      <c r="E9" s="24">
        <v>45520</v>
      </c>
      <c r="F9" s="1">
        <v>44</v>
      </c>
      <c r="G9" s="1" t="s">
        <v>24</v>
      </c>
      <c r="H9" s="1" t="s">
        <v>71</v>
      </c>
      <c r="J9" s="24">
        <v>45436</v>
      </c>
      <c r="K9" s="24">
        <v>45443</v>
      </c>
      <c r="L9" s="24">
        <v>45450</v>
      </c>
      <c r="M9" s="24">
        <v>45457</v>
      </c>
      <c r="N9" s="24">
        <v>45464</v>
      </c>
      <c r="O9" s="24">
        <v>45471</v>
      </c>
      <c r="P9" s="24">
        <v>45478</v>
      </c>
      <c r="Q9" s="24">
        <v>45485</v>
      </c>
      <c r="R9" s="24">
        <v>45492</v>
      </c>
      <c r="S9" s="24">
        <v>45499</v>
      </c>
      <c r="T9" s="24">
        <v>45506</v>
      </c>
      <c r="U9" s="24"/>
    </row>
    <row r="10" spans="1:21" x14ac:dyDescent="0.2">
      <c r="A10" s="1" t="s">
        <v>20</v>
      </c>
      <c r="B10" s="1" t="s">
        <v>57</v>
      </c>
      <c r="C10" s="1" t="s">
        <v>10</v>
      </c>
      <c r="D10" s="24">
        <v>45499</v>
      </c>
      <c r="E10" s="24"/>
      <c r="F10" s="1">
        <v>70</v>
      </c>
      <c r="G10" s="1" t="s">
        <v>24</v>
      </c>
      <c r="H10" s="1" t="s">
        <v>21</v>
      </c>
      <c r="I10" s="1" t="s">
        <v>25</v>
      </c>
      <c r="J10" s="24" t="s">
        <v>73</v>
      </c>
      <c r="K10" s="24" t="s">
        <v>73</v>
      </c>
      <c r="L10" s="24" t="s">
        <v>73</v>
      </c>
      <c r="M10" s="24" t="s">
        <v>73</v>
      </c>
      <c r="N10" s="24" t="s">
        <v>73</v>
      </c>
      <c r="O10" s="24" t="s">
        <v>73</v>
      </c>
      <c r="P10" s="24" t="s">
        <v>73</v>
      </c>
      <c r="Q10" s="24" t="s">
        <v>73</v>
      </c>
      <c r="R10" s="24" t="s">
        <v>73</v>
      </c>
      <c r="S10" s="24" t="s">
        <v>73</v>
      </c>
      <c r="T10" s="24" t="s">
        <v>73</v>
      </c>
      <c r="U10" s="24"/>
    </row>
  </sheetData>
  <mergeCells count="4">
    <mergeCell ref="B1:I3"/>
    <mergeCell ref="A2:A3"/>
    <mergeCell ref="A4:I4"/>
    <mergeCell ref="J1:U3"/>
  </mergeCells>
  <phoneticPr fontId="6" type="noConversion"/>
  <conditionalFormatting sqref="J11">
    <cfRule type="expression" dxfId="1547" priority="4070" stopIfTrue="1">
      <formula>AND(J11&lt;&gt;"", D10 - J11 &lt;= 14, D10 - J11 &gt; 7)</formula>
    </cfRule>
  </conditionalFormatting>
  <conditionalFormatting sqref="J11">
    <cfRule type="expression" dxfId="1546" priority="4071" stopIfTrue="1">
      <formula>AND(J11&lt;&gt;"", D10 - J11 &lt;= 7, D10 - J11 &gt; 1)</formula>
    </cfRule>
  </conditionalFormatting>
  <conditionalFormatting sqref="J11">
    <cfRule type="expression" dxfId="1545" priority="4072" stopIfTrue="1">
      <formula>AND(J11&lt;&gt;"", D10 - J11 &lt;= 1)</formula>
    </cfRule>
  </conditionalFormatting>
  <conditionalFormatting sqref="K11">
    <cfRule type="expression" dxfId="1544" priority="4073" stopIfTrue="1">
      <formula>AND(K11&lt;&gt;"", D10 - K11 &lt;= 14, D10 - K11 &gt; 7)</formula>
    </cfRule>
  </conditionalFormatting>
  <conditionalFormatting sqref="K11">
    <cfRule type="expression" dxfId="1543" priority="4074" stopIfTrue="1">
      <formula>AND(K11&lt;&gt;"", D10 - K11 &lt;= 7, D10 - K11 &gt; 1)</formula>
    </cfRule>
  </conditionalFormatting>
  <conditionalFormatting sqref="K11">
    <cfRule type="expression" dxfId="1542" priority="4075" stopIfTrue="1">
      <formula>AND(K11&lt;&gt;"", D10 - K11 &lt;= 1)</formula>
    </cfRule>
  </conditionalFormatting>
  <conditionalFormatting sqref="L11">
    <cfRule type="expression" dxfId="1541" priority="4076" stopIfTrue="1">
      <formula>AND(L11&lt;&gt;"", D10 - L11 &lt;= 14, D10 - L11 &gt; 7)</formula>
    </cfRule>
  </conditionalFormatting>
  <conditionalFormatting sqref="L11">
    <cfRule type="expression" dxfId="1540" priority="4077" stopIfTrue="1">
      <formula>AND(L11&lt;&gt;"", D10 - L11 &lt;= 7, D10 - L11 &gt; 1)</formula>
    </cfRule>
  </conditionalFormatting>
  <conditionalFormatting sqref="L11">
    <cfRule type="expression" dxfId="1539" priority="4078" stopIfTrue="1">
      <formula>AND(L11&lt;&gt;"", D10 - L11 &lt;= 1)</formula>
    </cfRule>
  </conditionalFormatting>
  <conditionalFormatting sqref="M11">
    <cfRule type="expression" dxfId="1538" priority="4079" stopIfTrue="1">
      <formula>AND(M11&lt;&gt;"", D10 - M11 &lt;= 14, D10 - M11 &gt; 7)</formula>
    </cfRule>
  </conditionalFormatting>
  <conditionalFormatting sqref="M11">
    <cfRule type="expression" dxfId="1537" priority="4080" stopIfTrue="1">
      <formula>AND(M11&lt;&gt;"", D10 - M11 &lt;= 7, D10 - M11 &gt; 1)</formula>
    </cfRule>
  </conditionalFormatting>
  <conditionalFormatting sqref="M11">
    <cfRule type="expression" dxfId="1536" priority="4081" stopIfTrue="1">
      <formula>AND(M11&lt;&gt;"", D10 - M11 &lt;= 1)</formula>
    </cfRule>
  </conditionalFormatting>
  <conditionalFormatting sqref="N11">
    <cfRule type="expression" dxfId="1535" priority="4082" stopIfTrue="1">
      <formula>AND(N11&lt;&gt;"", D10 - N11 &lt;= 14, D10 - N11 &gt; 7)</formula>
    </cfRule>
  </conditionalFormatting>
  <conditionalFormatting sqref="N11">
    <cfRule type="expression" dxfId="1534" priority="4083" stopIfTrue="1">
      <formula>AND(N11&lt;&gt;"", D10 - N11 &lt;= 7, D10 - N11 &gt; 1)</formula>
    </cfRule>
  </conditionalFormatting>
  <conditionalFormatting sqref="N11">
    <cfRule type="expression" dxfId="1533" priority="4084" stopIfTrue="1">
      <formula>AND(N11&lt;&gt;"", D10 - N11 &lt;= 1)</formula>
    </cfRule>
  </conditionalFormatting>
  <conditionalFormatting sqref="O11">
    <cfRule type="expression" dxfId="1532" priority="4085" stopIfTrue="1">
      <formula>AND(O11&lt;&gt;"", D10 - O11 &lt;= 14, D10 - O11 &gt; 7)</formula>
    </cfRule>
  </conditionalFormatting>
  <conditionalFormatting sqref="O11">
    <cfRule type="expression" dxfId="1531" priority="4086" stopIfTrue="1">
      <formula>AND(O11&lt;&gt;"", D10 - O11 &lt;= 7, D10 - O11 &gt; 1)</formula>
    </cfRule>
  </conditionalFormatting>
  <conditionalFormatting sqref="O11">
    <cfRule type="expression" dxfId="1530" priority="4087" stopIfTrue="1">
      <formula>AND(O11&lt;&gt;"", D10 - O11 &lt;= 1)</formula>
    </cfRule>
  </conditionalFormatting>
  <conditionalFormatting sqref="P11">
    <cfRule type="expression" dxfId="1529" priority="4088" stopIfTrue="1">
      <formula>AND(P11&lt;&gt;"", D10 - P11 &lt;= 14, D10 - P11 &gt; 7)</formula>
    </cfRule>
  </conditionalFormatting>
  <conditionalFormatting sqref="P11">
    <cfRule type="expression" dxfId="1528" priority="4089" stopIfTrue="1">
      <formula>AND(P11&lt;&gt;"", D10 - P11 &lt;= 7, D10 - P11 &gt; 1)</formula>
    </cfRule>
  </conditionalFormatting>
  <conditionalFormatting sqref="P11">
    <cfRule type="expression" dxfId="1527" priority="4090" stopIfTrue="1">
      <formula>AND(P11&lt;&gt;"", D10 - P11 &lt;= 1)</formula>
    </cfRule>
  </conditionalFormatting>
  <conditionalFormatting sqref="Q11">
    <cfRule type="expression" dxfId="1526" priority="4091" stopIfTrue="1">
      <formula>AND(Q11&lt;&gt;"", D10 - Q11 &lt;= 14, D10 - Q11 &gt; 7)</formula>
    </cfRule>
  </conditionalFormatting>
  <conditionalFormatting sqref="Q11">
    <cfRule type="expression" dxfId="1525" priority="4092" stopIfTrue="1">
      <formula>AND(Q11&lt;&gt;"", D10 - Q11 &lt;= 7, D10 - Q11 &gt; 1)</formula>
    </cfRule>
  </conditionalFormatting>
  <conditionalFormatting sqref="Q11">
    <cfRule type="expression" dxfId="1524" priority="4093" stopIfTrue="1">
      <formula>AND(Q11&lt;&gt;"", D10 - Q11 &lt;= 1)</formula>
    </cfRule>
  </conditionalFormatting>
  <conditionalFormatting sqref="R11">
    <cfRule type="expression" dxfId="1523" priority="4094" stopIfTrue="1">
      <formula>AND(R11&lt;&gt;"", D10 - R11 &lt;= 14, D10 - R11 &gt; 7)</formula>
    </cfRule>
  </conditionalFormatting>
  <conditionalFormatting sqref="R11">
    <cfRule type="expression" dxfId="1522" priority="4095" stopIfTrue="1">
      <formula>AND(R11&lt;&gt;"", D10 - R11 &lt;= 7, D10 - R11 &gt; 1)</formula>
    </cfRule>
  </conditionalFormatting>
  <conditionalFormatting sqref="R11">
    <cfRule type="expression" dxfId="1521" priority="4096" stopIfTrue="1">
      <formula>AND(R11&lt;&gt;"", D10 - R11 &lt;= 1)</formula>
    </cfRule>
  </conditionalFormatting>
  <conditionalFormatting sqref="S11">
    <cfRule type="expression" dxfId="1520" priority="4097" stopIfTrue="1">
      <formula>AND(S11&lt;&gt;"", D10 - S11 &lt;= 14, D10 - S11 &gt; 7)</formula>
    </cfRule>
  </conditionalFormatting>
  <conditionalFormatting sqref="S11">
    <cfRule type="expression" dxfId="1519" priority="4098" stopIfTrue="1">
      <formula>AND(S11&lt;&gt;"", D10 - S11 &lt;= 7, D10 - S11 &gt; 1)</formula>
    </cfRule>
  </conditionalFormatting>
  <conditionalFormatting sqref="S11">
    <cfRule type="expression" dxfId="1518" priority="4099" stopIfTrue="1">
      <formula>AND(S11&lt;&gt;"", D10 - S11 &lt;= 1)</formula>
    </cfRule>
  </conditionalFormatting>
  <conditionalFormatting sqref="T11">
    <cfRule type="expression" dxfId="1517" priority="4100" stopIfTrue="1">
      <formula>AND(T11&lt;&gt;"", D10 - T11 &lt;= 14, D10 - T11 &gt; 7)</formula>
    </cfRule>
  </conditionalFormatting>
  <conditionalFormatting sqref="T11">
    <cfRule type="expression" dxfId="1516" priority="4101" stopIfTrue="1">
      <formula>AND(T11&lt;&gt;"", D10 - T11 &lt;= 7, D10 - T11 &gt; 1)</formula>
    </cfRule>
  </conditionalFormatting>
  <conditionalFormatting sqref="T11">
    <cfRule type="expression" dxfId="1515" priority="4102" stopIfTrue="1">
      <formula>AND(T11&lt;&gt;"", D10 - T11 &lt;= 1)</formula>
    </cfRule>
  </conditionalFormatting>
  <conditionalFormatting sqref="U11">
    <cfRule type="expression" dxfId="1514" priority="4103" stopIfTrue="1">
      <formula>AND(U11&lt;&gt;"", D10 - U11 &lt;= 14, D10 - U11 &gt; 7)</formula>
    </cfRule>
  </conditionalFormatting>
  <conditionalFormatting sqref="U11">
    <cfRule type="expression" dxfId="1513" priority="4104" stopIfTrue="1">
      <formula>AND(U11&lt;&gt;"", D10 - U11 &lt;= 7, D10 - U11 &gt; 1)</formula>
    </cfRule>
  </conditionalFormatting>
  <conditionalFormatting sqref="U11">
    <cfRule type="expression" dxfId="1512" priority="4105" stopIfTrue="1">
      <formula>AND(U11&lt;&gt;"", D10 - U11 &lt;= 1)</formula>
    </cfRule>
  </conditionalFormatting>
  <conditionalFormatting sqref="J2">
    <cfRule type="expression" dxfId="431" priority="17306" stopIfTrue="1">
      <formula>AND(J2&lt;&gt;"", J2 - A2 &gt; 14)</formula>
    </cfRule>
  </conditionalFormatting>
  <conditionalFormatting sqref="J2">
    <cfRule type="expression" dxfId="430" priority="17307" stopIfTrue="1">
      <formula>AND(J2&lt;&gt;"", J2 - A2 &lt;= 14, J2 - A2 &gt; 7)</formula>
    </cfRule>
  </conditionalFormatting>
  <conditionalFormatting sqref="J2">
    <cfRule type="expression" dxfId="429" priority="17308" stopIfTrue="1">
      <formula>AND(J2&lt;&gt;"", J2 - A2 &lt;= 7, J2 - A2 &gt; 2)</formula>
    </cfRule>
  </conditionalFormatting>
  <conditionalFormatting sqref="J2">
    <cfRule type="expression" dxfId="428" priority="17309" stopIfTrue="1">
      <formula>AND(J2&lt;&gt;"", J2 - A2 &lt;= 2)</formula>
    </cfRule>
  </conditionalFormatting>
  <conditionalFormatting sqref="K2">
    <cfRule type="expression" dxfId="427" priority="17310" stopIfTrue="1">
      <formula>AND(K2&lt;&gt;"", K2 - A2 &gt; 14)</formula>
    </cfRule>
  </conditionalFormatting>
  <conditionalFormatting sqref="K2">
    <cfRule type="expression" dxfId="426" priority="17311" stopIfTrue="1">
      <formula>AND(K2&lt;&gt;"", K2 - A2 &lt;= 14, K2 - A2 &gt; 7)</formula>
    </cfRule>
  </conditionalFormatting>
  <conditionalFormatting sqref="K2">
    <cfRule type="expression" dxfId="425" priority="17312" stopIfTrue="1">
      <formula>AND(K2&lt;&gt;"", K2 - A2 &lt;= 7, K2 - A2 &gt; 2)</formula>
    </cfRule>
  </conditionalFormatting>
  <conditionalFormatting sqref="K2">
    <cfRule type="expression" dxfId="424" priority="17313" stopIfTrue="1">
      <formula>AND(K2&lt;&gt;"", K2 - A2 &lt;= 2)</formula>
    </cfRule>
  </conditionalFormatting>
  <conditionalFormatting sqref="L2">
    <cfRule type="expression" dxfId="423" priority="17314" stopIfTrue="1">
      <formula>AND(L2&lt;&gt;"", L2 - A2 &gt; 14)</formula>
    </cfRule>
  </conditionalFormatting>
  <conditionalFormatting sqref="L2">
    <cfRule type="expression" dxfId="422" priority="17315" stopIfTrue="1">
      <formula>AND(L2&lt;&gt;"", L2 - A2 &lt;= 14, L2 - A2 &gt; 7)</formula>
    </cfRule>
  </conditionalFormatting>
  <conditionalFormatting sqref="L2">
    <cfRule type="expression" dxfId="421" priority="17316" stopIfTrue="1">
      <formula>AND(L2&lt;&gt;"", L2 - A2 &lt;= 7, L2 - A2 &gt; 2)</formula>
    </cfRule>
  </conditionalFormatting>
  <conditionalFormatting sqref="L2">
    <cfRule type="expression" dxfId="420" priority="17317" stopIfTrue="1">
      <formula>AND(L2&lt;&gt;"", L2 - A2 &lt;= 2)</formula>
    </cfRule>
  </conditionalFormatting>
  <conditionalFormatting sqref="M2">
    <cfRule type="expression" dxfId="419" priority="17318" stopIfTrue="1">
      <formula>AND(M2&lt;&gt;"", M2 - A2 &gt; 14)</formula>
    </cfRule>
  </conditionalFormatting>
  <conditionalFormatting sqref="M2">
    <cfRule type="expression" dxfId="418" priority="17319" stopIfTrue="1">
      <formula>AND(M2&lt;&gt;"", M2 - A2 &lt;= 14, M2 - A2 &gt; 7)</formula>
    </cfRule>
  </conditionalFormatting>
  <conditionalFormatting sqref="M2">
    <cfRule type="expression" dxfId="417" priority="17320" stopIfTrue="1">
      <formula>AND(M2&lt;&gt;"", M2 - A2 &lt;= 7, M2 - A2 &gt; 2)</formula>
    </cfRule>
  </conditionalFormatting>
  <conditionalFormatting sqref="M2">
    <cfRule type="expression" dxfId="416" priority="17321" stopIfTrue="1">
      <formula>AND(M2&lt;&gt;"", M2 - A2 &lt;= 2)</formula>
    </cfRule>
  </conditionalFormatting>
  <conditionalFormatting sqref="N2">
    <cfRule type="expression" dxfId="415" priority="17322" stopIfTrue="1">
      <formula>AND(N2&lt;&gt;"", N2 - A2 &gt; 14)</formula>
    </cfRule>
  </conditionalFormatting>
  <conditionalFormatting sqref="N2">
    <cfRule type="expression" dxfId="414" priority="17323" stopIfTrue="1">
      <formula>AND(N2&lt;&gt;"", N2 - A2 &lt;= 14, N2 - A2 &gt; 7)</formula>
    </cfRule>
  </conditionalFormatting>
  <conditionalFormatting sqref="N2">
    <cfRule type="expression" dxfId="413" priority="17324" stopIfTrue="1">
      <formula>AND(N2&lt;&gt;"", N2 - A2 &lt;= 7, N2 - A2 &gt; 2)</formula>
    </cfRule>
  </conditionalFormatting>
  <conditionalFormatting sqref="N2">
    <cfRule type="expression" dxfId="412" priority="17325" stopIfTrue="1">
      <formula>AND(N2&lt;&gt;"", N2 - A2 &lt;= 2)</formula>
    </cfRule>
  </conditionalFormatting>
  <conditionalFormatting sqref="O2">
    <cfRule type="expression" dxfId="411" priority="17326" stopIfTrue="1">
      <formula>AND(O2&lt;&gt;"", O2 - A2 &gt; 14)</formula>
    </cfRule>
  </conditionalFormatting>
  <conditionalFormatting sqref="O2">
    <cfRule type="expression" dxfId="410" priority="17327" stopIfTrue="1">
      <formula>AND(O2&lt;&gt;"", O2 - A2 &lt;= 14, O2 - A2 &gt; 7)</formula>
    </cfRule>
  </conditionalFormatting>
  <conditionalFormatting sqref="O2">
    <cfRule type="expression" dxfId="409" priority="17328" stopIfTrue="1">
      <formula>AND(O2&lt;&gt;"", O2 - A2 &lt;= 7, O2 - A2 &gt; 2)</formula>
    </cfRule>
  </conditionalFormatting>
  <conditionalFormatting sqref="O2">
    <cfRule type="expression" dxfId="408" priority="17329" stopIfTrue="1">
      <formula>AND(O2&lt;&gt;"", O2 - A2 &lt;= 2)</formula>
    </cfRule>
  </conditionalFormatting>
  <conditionalFormatting sqref="P2">
    <cfRule type="expression" dxfId="407" priority="17330" stopIfTrue="1">
      <formula>AND(P2&lt;&gt;"", P2 - A2 &gt; 14)</formula>
    </cfRule>
  </conditionalFormatting>
  <conditionalFormatting sqref="P2">
    <cfRule type="expression" dxfId="406" priority="17331" stopIfTrue="1">
      <formula>AND(P2&lt;&gt;"", P2 - A2 &lt;= 14, P2 - A2 &gt; 7)</formula>
    </cfRule>
  </conditionalFormatting>
  <conditionalFormatting sqref="P2">
    <cfRule type="expression" dxfId="405" priority="17332" stopIfTrue="1">
      <formula>AND(P2&lt;&gt;"", P2 - A2 &lt;= 7, P2 - A2 &gt; 2)</formula>
    </cfRule>
  </conditionalFormatting>
  <conditionalFormatting sqref="P2">
    <cfRule type="expression" dxfId="404" priority="17333" stopIfTrue="1">
      <formula>AND(P2&lt;&gt;"", P2 - A2 &lt;= 2)</formula>
    </cfRule>
  </conditionalFormatting>
  <conditionalFormatting sqref="Q2">
    <cfRule type="expression" dxfId="403" priority="17334" stopIfTrue="1">
      <formula>AND(Q2&lt;&gt;"", Q2 - A2 &gt; 14)</formula>
    </cfRule>
  </conditionalFormatting>
  <conditionalFormatting sqref="Q2">
    <cfRule type="expression" dxfId="402" priority="17335" stopIfTrue="1">
      <formula>AND(Q2&lt;&gt;"", Q2 - A2 &lt;= 14, Q2 - A2 &gt; 7)</formula>
    </cfRule>
  </conditionalFormatting>
  <conditionalFormatting sqref="Q2">
    <cfRule type="expression" dxfId="401" priority="17336" stopIfTrue="1">
      <formula>AND(Q2&lt;&gt;"", Q2 - A2 &lt;= 7, Q2 - A2 &gt; 2)</formula>
    </cfRule>
  </conditionalFormatting>
  <conditionalFormatting sqref="Q2">
    <cfRule type="expression" dxfId="400" priority="17337" stopIfTrue="1">
      <formula>AND(Q2&lt;&gt;"", Q2 - A2 &lt;= 2)</formula>
    </cfRule>
  </conditionalFormatting>
  <conditionalFormatting sqref="R2">
    <cfRule type="expression" dxfId="399" priority="17338" stopIfTrue="1">
      <formula>AND(R2&lt;&gt;"", R2 - A2 &gt; 14)</formula>
    </cfRule>
  </conditionalFormatting>
  <conditionalFormatting sqref="R2">
    <cfRule type="expression" dxfId="398" priority="17339" stopIfTrue="1">
      <formula>AND(R2&lt;&gt;"", R2 - A2 &lt;= 14, R2 - A2 &gt; 7)</formula>
    </cfRule>
  </conditionalFormatting>
  <conditionalFormatting sqref="R2">
    <cfRule type="expression" dxfId="397" priority="17340" stopIfTrue="1">
      <formula>AND(R2&lt;&gt;"", R2 - A2 &lt;= 7, R2 - A2 &gt; 2)</formula>
    </cfRule>
  </conditionalFormatting>
  <conditionalFormatting sqref="R2">
    <cfRule type="expression" dxfId="396" priority="17341" stopIfTrue="1">
      <formula>AND(R2&lt;&gt;"", R2 - A2 &lt;= 2)</formula>
    </cfRule>
  </conditionalFormatting>
  <conditionalFormatting sqref="S2">
    <cfRule type="expression" dxfId="395" priority="17342" stopIfTrue="1">
      <formula>AND(S2&lt;&gt;"", S2 - A2 &gt; 14)</formula>
    </cfRule>
  </conditionalFormatting>
  <conditionalFormatting sqref="S2">
    <cfRule type="expression" dxfId="394" priority="17343" stopIfTrue="1">
      <formula>AND(S2&lt;&gt;"", S2 - A2 &lt;= 14, S2 - A2 &gt; 7)</formula>
    </cfRule>
  </conditionalFormatting>
  <conditionalFormatting sqref="S2">
    <cfRule type="expression" dxfId="393" priority="17344" stopIfTrue="1">
      <formula>AND(S2&lt;&gt;"", S2 - A2 &lt;= 7, S2 - A2 &gt; 2)</formula>
    </cfRule>
  </conditionalFormatting>
  <conditionalFormatting sqref="S2">
    <cfRule type="expression" dxfId="392" priority="17345" stopIfTrue="1">
      <formula>AND(S2&lt;&gt;"", S2 - A2 &lt;= 2)</formula>
    </cfRule>
  </conditionalFormatting>
  <conditionalFormatting sqref="T2">
    <cfRule type="expression" dxfId="391" priority="17346" stopIfTrue="1">
      <formula>AND(T2&lt;&gt;"", T2 - A2 &gt; 14)</formula>
    </cfRule>
  </conditionalFormatting>
  <conditionalFormatting sqref="T2">
    <cfRule type="expression" dxfId="390" priority="17347" stopIfTrue="1">
      <formula>AND(T2&lt;&gt;"", T2 - A2 &lt;= 14, T2 - A2 &gt; 7)</formula>
    </cfRule>
  </conditionalFormatting>
  <conditionalFormatting sqref="T2">
    <cfRule type="expression" dxfId="389" priority="17348" stopIfTrue="1">
      <formula>AND(T2&lt;&gt;"", T2 - A2 &lt;= 7, T2 - A2 &gt; 2)</formula>
    </cfRule>
  </conditionalFormatting>
  <conditionalFormatting sqref="T2">
    <cfRule type="expression" dxfId="388" priority="17349" stopIfTrue="1">
      <formula>AND(T2&lt;&gt;"", T2 - A2 &lt;= 2)</formula>
    </cfRule>
  </conditionalFormatting>
  <conditionalFormatting sqref="U2">
    <cfRule type="expression" dxfId="387" priority="17350" stopIfTrue="1">
      <formula>AND(U2&lt;&gt;"", U2 - A2 &gt; 14)</formula>
    </cfRule>
  </conditionalFormatting>
  <conditionalFormatting sqref="U2">
    <cfRule type="expression" dxfId="386" priority="17351" stopIfTrue="1">
      <formula>AND(U2&lt;&gt;"", U2 - A2 &lt;= 14, U2 - A2 &gt; 7)</formula>
    </cfRule>
  </conditionalFormatting>
  <conditionalFormatting sqref="U2">
    <cfRule type="expression" dxfId="385" priority="17352" stopIfTrue="1">
      <formula>AND(U2&lt;&gt;"", U2 - A2 &lt;= 7, U2 - A2 &gt; 2)</formula>
    </cfRule>
  </conditionalFormatting>
  <conditionalFormatting sqref="U2">
    <cfRule type="expression" dxfId="384" priority="17353" stopIfTrue="1">
      <formula>AND(U2&lt;&gt;"", U2 - A2 &lt;= 2)</formula>
    </cfRule>
  </conditionalFormatting>
  <conditionalFormatting sqref="J3">
    <cfRule type="expression" dxfId="383" priority="17354" stopIfTrue="1">
      <formula>AND(J3&lt;&gt;"", J3 - A2 &gt; 14)</formula>
    </cfRule>
  </conditionalFormatting>
  <conditionalFormatting sqref="J3">
    <cfRule type="expression" dxfId="382" priority="17355" stopIfTrue="1">
      <formula>AND(J3&lt;&gt;"", J3 - A2 &lt;= 14, J3 - A2 &gt; 7)</formula>
    </cfRule>
  </conditionalFormatting>
  <conditionalFormatting sqref="J3">
    <cfRule type="expression" dxfId="381" priority="17356" stopIfTrue="1">
      <formula>AND(J3&lt;&gt;"", J3 - A2 &lt;= 7, J3 - A2 &gt; 2)</formula>
    </cfRule>
  </conditionalFormatting>
  <conditionalFormatting sqref="J3">
    <cfRule type="expression" dxfId="380" priority="17357" stopIfTrue="1">
      <formula>AND(J3&lt;&gt;"", J3 - A2 &lt;= 2)</formula>
    </cfRule>
  </conditionalFormatting>
  <conditionalFormatting sqref="K3">
    <cfRule type="expression" dxfId="379" priority="17358" stopIfTrue="1">
      <formula>AND(K3&lt;&gt;"", K3 - A2 &gt; 14)</formula>
    </cfRule>
  </conditionalFormatting>
  <conditionalFormatting sqref="K3">
    <cfRule type="expression" dxfId="378" priority="17359" stopIfTrue="1">
      <formula>AND(K3&lt;&gt;"", K3 - A2 &lt;= 14, K3 - A2 &gt; 7)</formula>
    </cfRule>
  </conditionalFormatting>
  <conditionalFormatting sqref="K3">
    <cfRule type="expression" dxfId="377" priority="17360" stopIfTrue="1">
      <formula>AND(K3&lt;&gt;"", K3 - A2 &lt;= 7, K3 - A2 &gt; 2)</formula>
    </cfRule>
  </conditionalFormatting>
  <conditionalFormatting sqref="K3">
    <cfRule type="expression" dxfId="376" priority="17361" stopIfTrue="1">
      <formula>AND(K3&lt;&gt;"", K3 - A2 &lt;= 2)</formula>
    </cfRule>
  </conditionalFormatting>
  <conditionalFormatting sqref="L3">
    <cfRule type="expression" dxfId="375" priority="17362" stopIfTrue="1">
      <formula>AND(L3&lt;&gt;"", L3 - A2 &gt; 14)</formula>
    </cfRule>
  </conditionalFormatting>
  <conditionalFormatting sqref="L3">
    <cfRule type="expression" dxfId="374" priority="17363" stopIfTrue="1">
      <formula>AND(L3&lt;&gt;"", L3 - A2 &lt;= 14, L3 - A2 &gt; 7)</formula>
    </cfRule>
  </conditionalFormatting>
  <conditionalFormatting sqref="L3">
    <cfRule type="expression" dxfId="373" priority="17364" stopIfTrue="1">
      <formula>AND(L3&lt;&gt;"", L3 - A2 &lt;= 7, L3 - A2 &gt; 2)</formula>
    </cfRule>
  </conditionalFormatting>
  <conditionalFormatting sqref="L3">
    <cfRule type="expression" dxfId="372" priority="17365" stopIfTrue="1">
      <formula>AND(L3&lt;&gt;"", L3 - A2 &lt;= 2)</formula>
    </cfRule>
  </conditionalFormatting>
  <conditionalFormatting sqref="M3">
    <cfRule type="expression" dxfId="371" priority="17366" stopIfTrue="1">
      <formula>AND(M3&lt;&gt;"", M3 - A2 &gt; 14)</formula>
    </cfRule>
  </conditionalFormatting>
  <conditionalFormatting sqref="M3">
    <cfRule type="expression" dxfId="370" priority="17367" stopIfTrue="1">
      <formula>AND(M3&lt;&gt;"", M3 - A2 &lt;= 14, M3 - A2 &gt; 7)</formula>
    </cfRule>
  </conditionalFormatting>
  <conditionalFormatting sqref="M3">
    <cfRule type="expression" dxfId="369" priority="17368" stopIfTrue="1">
      <formula>AND(M3&lt;&gt;"", M3 - A2 &lt;= 7, M3 - A2 &gt; 2)</formula>
    </cfRule>
  </conditionalFormatting>
  <conditionalFormatting sqref="M3">
    <cfRule type="expression" dxfId="368" priority="17369" stopIfTrue="1">
      <formula>AND(M3&lt;&gt;"", M3 - A2 &lt;= 2)</formula>
    </cfRule>
  </conditionalFormatting>
  <conditionalFormatting sqref="N3">
    <cfRule type="expression" dxfId="367" priority="17370" stopIfTrue="1">
      <formula>AND(N3&lt;&gt;"", N3 - A2 &gt; 14)</formula>
    </cfRule>
  </conditionalFormatting>
  <conditionalFormatting sqref="N3">
    <cfRule type="expression" dxfId="366" priority="17371" stopIfTrue="1">
      <formula>AND(N3&lt;&gt;"", N3 - A2 &lt;= 14, N3 - A2 &gt; 7)</formula>
    </cfRule>
  </conditionalFormatting>
  <conditionalFormatting sqref="N3">
    <cfRule type="expression" dxfId="365" priority="17372" stopIfTrue="1">
      <formula>AND(N3&lt;&gt;"", N3 - A2 &lt;= 7, N3 - A2 &gt; 2)</formula>
    </cfRule>
  </conditionalFormatting>
  <conditionalFormatting sqref="N3">
    <cfRule type="expression" dxfId="364" priority="17373" stopIfTrue="1">
      <formula>AND(N3&lt;&gt;"", N3 - A2 &lt;= 2)</formula>
    </cfRule>
  </conditionalFormatting>
  <conditionalFormatting sqref="O3">
    <cfRule type="expression" dxfId="363" priority="17374" stopIfTrue="1">
      <formula>AND(O3&lt;&gt;"", O3 - A2 &gt; 14)</formula>
    </cfRule>
  </conditionalFormatting>
  <conditionalFormatting sqref="O3">
    <cfRule type="expression" dxfId="362" priority="17375" stopIfTrue="1">
      <formula>AND(O3&lt;&gt;"", O3 - A2 &lt;= 14, O3 - A2 &gt; 7)</formula>
    </cfRule>
  </conditionalFormatting>
  <conditionalFormatting sqref="O3">
    <cfRule type="expression" dxfId="361" priority="17376" stopIfTrue="1">
      <formula>AND(O3&lt;&gt;"", O3 - A2 &lt;= 7, O3 - A2 &gt; 2)</formula>
    </cfRule>
  </conditionalFormatting>
  <conditionalFormatting sqref="O3">
    <cfRule type="expression" dxfId="360" priority="17377" stopIfTrue="1">
      <formula>AND(O3&lt;&gt;"", O3 - A2 &lt;= 2)</formula>
    </cfRule>
  </conditionalFormatting>
  <conditionalFormatting sqref="P3">
    <cfRule type="expression" dxfId="359" priority="17378" stopIfTrue="1">
      <formula>AND(P3&lt;&gt;"", P3 - A2 &gt; 14)</formula>
    </cfRule>
  </conditionalFormatting>
  <conditionalFormatting sqref="P3">
    <cfRule type="expression" dxfId="358" priority="17379" stopIfTrue="1">
      <formula>AND(P3&lt;&gt;"", P3 - A2 &lt;= 14, P3 - A2 &gt; 7)</formula>
    </cfRule>
  </conditionalFormatting>
  <conditionalFormatting sqref="P3">
    <cfRule type="expression" dxfId="357" priority="17380" stopIfTrue="1">
      <formula>AND(P3&lt;&gt;"", P3 - A2 &lt;= 7, P3 - A2 &gt; 2)</formula>
    </cfRule>
  </conditionalFormatting>
  <conditionalFormatting sqref="P3">
    <cfRule type="expression" dxfId="356" priority="17381" stopIfTrue="1">
      <formula>AND(P3&lt;&gt;"", P3 - A2 &lt;= 2)</formula>
    </cfRule>
  </conditionalFormatting>
  <conditionalFormatting sqref="Q3">
    <cfRule type="expression" dxfId="355" priority="17382" stopIfTrue="1">
      <formula>AND(Q3&lt;&gt;"", Q3 - A2 &gt; 14)</formula>
    </cfRule>
  </conditionalFormatting>
  <conditionalFormatting sqref="Q3">
    <cfRule type="expression" dxfId="354" priority="17383" stopIfTrue="1">
      <formula>AND(Q3&lt;&gt;"", Q3 - A2 &lt;= 14, Q3 - A2 &gt; 7)</formula>
    </cfRule>
  </conditionalFormatting>
  <conditionalFormatting sqref="Q3">
    <cfRule type="expression" dxfId="353" priority="17384" stopIfTrue="1">
      <formula>AND(Q3&lt;&gt;"", Q3 - A2 &lt;= 7, Q3 - A2 &gt; 2)</formula>
    </cfRule>
  </conditionalFormatting>
  <conditionalFormatting sqref="Q3">
    <cfRule type="expression" dxfId="352" priority="17385" stopIfTrue="1">
      <formula>AND(Q3&lt;&gt;"", Q3 - A2 &lt;= 2)</formula>
    </cfRule>
  </conditionalFormatting>
  <conditionalFormatting sqref="R3">
    <cfRule type="expression" dxfId="351" priority="17386" stopIfTrue="1">
      <formula>AND(R3&lt;&gt;"", R3 - A2 &gt; 14)</formula>
    </cfRule>
  </conditionalFormatting>
  <conditionalFormatting sqref="R3">
    <cfRule type="expression" dxfId="350" priority="17387" stopIfTrue="1">
      <formula>AND(R3&lt;&gt;"", R3 - A2 &lt;= 14, R3 - A2 &gt; 7)</formula>
    </cfRule>
  </conditionalFormatting>
  <conditionalFormatting sqref="R3">
    <cfRule type="expression" dxfId="349" priority="17388" stopIfTrue="1">
      <formula>AND(R3&lt;&gt;"", R3 - A2 &lt;= 7, R3 - A2 &gt; 2)</formula>
    </cfRule>
  </conditionalFormatting>
  <conditionalFormatting sqref="R3">
    <cfRule type="expression" dxfId="348" priority="17389" stopIfTrue="1">
      <formula>AND(R3&lt;&gt;"", R3 - A2 &lt;= 2)</formula>
    </cfRule>
  </conditionalFormatting>
  <conditionalFormatting sqref="S3">
    <cfRule type="expression" dxfId="347" priority="17390" stopIfTrue="1">
      <formula>AND(S3&lt;&gt;"", S3 - A2 &gt; 14)</formula>
    </cfRule>
  </conditionalFormatting>
  <conditionalFormatting sqref="S3">
    <cfRule type="expression" dxfId="346" priority="17391" stopIfTrue="1">
      <formula>AND(S3&lt;&gt;"", S3 - A2 &lt;= 14, S3 - A2 &gt; 7)</formula>
    </cfRule>
  </conditionalFormatting>
  <conditionalFormatting sqref="S3">
    <cfRule type="expression" dxfId="345" priority="17392" stopIfTrue="1">
      <formula>AND(S3&lt;&gt;"", S3 - A2 &lt;= 7, S3 - A2 &gt; 2)</formula>
    </cfRule>
  </conditionalFormatting>
  <conditionalFormatting sqref="S3">
    <cfRule type="expression" dxfId="344" priority="17393" stopIfTrue="1">
      <formula>AND(S3&lt;&gt;"", S3 - A2 &lt;= 2)</formula>
    </cfRule>
  </conditionalFormatting>
  <conditionalFormatting sqref="T3">
    <cfRule type="expression" dxfId="343" priority="17394" stopIfTrue="1">
      <formula>AND(T3&lt;&gt;"", T3 - A2 &gt; 14)</formula>
    </cfRule>
  </conditionalFormatting>
  <conditionalFormatting sqref="T3">
    <cfRule type="expression" dxfId="342" priority="17395" stopIfTrue="1">
      <formula>AND(T3&lt;&gt;"", T3 - A2 &lt;= 14, T3 - A2 &gt; 7)</formula>
    </cfRule>
  </conditionalFormatting>
  <conditionalFormatting sqref="T3">
    <cfRule type="expression" dxfId="341" priority="17396" stopIfTrue="1">
      <formula>AND(T3&lt;&gt;"", T3 - A2 &lt;= 7, T3 - A2 &gt; 2)</formula>
    </cfRule>
  </conditionalFormatting>
  <conditionalFormatting sqref="T3">
    <cfRule type="expression" dxfId="340" priority="17397" stopIfTrue="1">
      <formula>AND(T3&lt;&gt;"", T3 - A2 &lt;= 2)</formula>
    </cfRule>
  </conditionalFormatting>
  <conditionalFormatting sqref="U3">
    <cfRule type="expression" dxfId="339" priority="17398" stopIfTrue="1">
      <formula>AND(U3&lt;&gt;"", U3 - A2 &gt; 14)</formula>
    </cfRule>
  </conditionalFormatting>
  <conditionalFormatting sqref="U3">
    <cfRule type="expression" dxfId="338" priority="17399" stopIfTrue="1">
      <formula>AND(U3&lt;&gt;"", U3 - A2 &lt;= 14, U3 - A2 &gt; 7)</formula>
    </cfRule>
  </conditionalFormatting>
  <conditionalFormatting sqref="U3">
    <cfRule type="expression" dxfId="337" priority="17400" stopIfTrue="1">
      <formula>AND(U3&lt;&gt;"", U3 - A2 &lt;= 7, U3 - A2 &gt; 2)</formula>
    </cfRule>
  </conditionalFormatting>
  <conditionalFormatting sqref="U3">
    <cfRule type="expression" dxfId="336" priority="17401" stopIfTrue="1">
      <formula>AND(U3&lt;&gt;"", U3 - A2 &lt;= 2)</formula>
    </cfRule>
  </conditionalFormatting>
  <conditionalFormatting sqref="J4">
    <cfRule type="expression" dxfId="335" priority="17402" stopIfTrue="1">
      <formula>AND(J4&lt;&gt;"", J4 - A2 &gt; 14)</formula>
    </cfRule>
  </conditionalFormatting>
  <conditionalFormatting sqref="J4">
    <cfRule type="expression" dxfId="334" priority="17403" stopIfTrue="1">
      <formula>AND(J4&lt;&gt;"", J4 - A2 &lt;= 14, J4 - A2 &gt; 7)</formula>
    </cfRule>
  </conditionalFormatting>
  <conditionalFormatting sqref="J4">
    <cfRule type="expression" dxfId="333" priority="17404" stopIfTrue="1">
      <formula>AND(J4&lt;&gt;"", J4 - A2 &lt;= 7, J4 - A2 &gt; 2)</formula>
    </cfRule>
  </conditionalFormatting>
  <conditionalFormatting sqref="J4">
    <cfRule type="expression" dxfId="332" priority="17405" stopIfTrue="1">
      <formula>AND(J4&lt;&gt;"", J4 - A2 &lt;= 2)</formula>
    </cfRule>
  </conditionalFormatting>
  <conditionalFormatting sqref="K4">
    <cfRule type="expression" dxfId="331" priority="17406" stopIfTrue="1">
      <formula>AND(K4&lt;&gt;"", K4 - A2 &gt; 14)</formula>
    </cfRule>
  </conditionalFormatting>
  <conditionalFormatting sqref="K4">
    <cfRule type="expression" dxfId="330" priority="17407" stopIfTrue="1">
      <formula>AND(K4&lt;&gt;"", K4 - A2 &lt;= 14, K4 - A2 &gt; 7)</formula>
    </cfRule>
  </conditionalFormatting>
  <conditionalFormatting sqref="K4">
    <cfRule type="expression" dxfId="329" priority="17408" stopIfTrue="1">
      <formula>AND(K4&lt;&gt;"", K4 - A2 &lt;= 7, K4 - A2 &gt; 2)</formula>
    </cfRule>
  </conditionalFormatting>
  <conditionalFormatting sqref="K4">
    <cfRule type="expression" dxfId="328" priority="17409" stopIfTrue="1">
      <formula>AND(K4&lt;&gt;"", K4 - A2 &lt;= 2)</formula>
    </cfRule>
  </conditionalFormatting>
  <conditionalFormatting sqref="L4">
    <cfRule type="expression" dxfId="327" priority="17410" stopIfTrue="1">
      <formula>AND(L4&lt;&gt;"", L4 - A2 &gt; 14)</formula>
    </cfRule>
  </conditionalFormatting>
  <conditionalFormatting sqref="L4">
    <cfRule type="expression" dxfId="326" priority="17411" stopIfTrue="1">
      <formula>AND(L4&lt;&gt;"", L4 - A2 &lt;= 14, L4 - A2 &gt; 7)</formula>
    </cfRule>
  </conditionalFormatting>
  <conditionalFormatting sqref="L4">
    <cfRule type="expression" dxfId="325" priority="17412" stopIfTrue="1">
      <formula>AND(L4&lt;&gt;"", L4 - A2 &lt;= 7, L4 - A2 &gt; 2)</formula>
    </cfRule>
  </conditionalFormatting>
  <conditionalFormatting sqref="L4">
    <cfRule type="expression" dxfId="324" priority="17413" stopIfTrue="1">
      <formula>AND(L4&lt;&gt;"", L4 - A2 &lt;= 2)</formula>
    </cfRule>
  </conditionalFormatting>
  <conditionalFormatting sqref="M4">
    <cfRule type="expression" dxfId="323" priority="17414" stopIfTrue="1">
      <formula>AND(M4&lt;&gt;"", M4 - A2 &gt; 14)</formula>
    </cfRule>
  </conditionalFormatting>
  <conditionalFormatting sqref="M4">
    <cfRule type="expression" dxfId="322" priority="17415" stopIfTrue="1">
      <formula>AND(M4&lt;&gt;"", M4 - A2 &lt;= 14, M4 - A2 &gt; 7)</formula>
    </cfRule>
  </conditionalFormatting>
  <conditionalFormatting sqref="M4">
    <cfRule type="expression" dxfId="321" priority="17416" stopIfTrue="1">
      <formula>AND(M4&lt;&gt;"", M4 - A2 &lt;= 7, M4 - A2 &gt; 2)</formula>
    </cfRule>
  </conditionalFormatting>
  <conditionalFormatting sqref="M4">
    <cfRule type="expression" dxfId="320" priority="17417" stopIfTrue="1">
      <formula>AND(M4&lt;&gt;"", M4 - A2 &lt;= 2)</formula>
    </cfRule>
  </conditionalFormatting>
  <conditionalFormatting sqref="N4">
    <cfRule type="expression" dxfId="319" priority="17418" stopIfTrue="1">
      <formula>AND(N4&lt;&gt;"", N4 - A2 &gt; 14)</formula>
    </cfRule>
  </conditionalFormatting>
  <conditionalFormatting sqref="N4">
    <cfRule type="expression" dxfId="318" priority="17419" stopIfTrue="1">
      <formula>AND(N4&lt;&gt;"", N4 - A2 &lt;= 14, N4 - A2 &gt; 7)</formula>
    </cfRule>
  </conditionalFormatting>
  <conditionalFormatting sqref="N4">
    <cfRule type="expression" dxfId="317" priority="17420" stopIfTrue="1">
      <formula>AND(N4&lt;&gt;"", N4 - A2 &lt;= 7, N4 - A2 &gt; 2)</formula>
    </cfRule>
  </conditionalFormatting>
  <conditionalFormatting sqref="N4">
    <cfRule type="expression" dxfId="316" priority="17421" stopIfTrue="1">
      <formula>AND(N4&lt;&gt;"", N4 - A2 &lt;= 2)</formula>
    </cfRule>
  </conditionalFormatting>
  <conditionalFormatting sqref="O4">
    <cfRule type="expression" dxfId="315" priority="17422" stopIfTrue="1">
      <formula>AND(O4&lt;&gt;"", O4 - A2 &gt; 14)</formula>
    </cfRule>
  </conditionalFormatting>
  <conditionalFormatting sqref="O4">
    <cfRule type="expression" dxfId="314" priority="17423" stopIfTrue="1">
      <formula>AND(O4&lt;&gt;"", O4 - A2 &lt;= 14, O4 - A2 &gt; 7)</formula>
    </cfRule>
  </conditionalFormatting>
  <conditionalFormatting sqref="O4">
    <cfRule type="expression" dxfId="313" priority="17424" stopIfTrue="1">
      <formula>AND(O4&lt;&gt;"", O4 - A2 &lt;= 7, O4 - A2 &gt; 2)</formula>
    </cfRule>
  </conditionalFormatting>
  <conditionalFormatting sqref="O4">
    <cfRule type="expression" dxfId="312" priority="17425" stopIfTrue="1">
      <formula>AND(O4&lt;&gt;"", O4 - A2 &lt;= 2)</formula>
    </cfRule>
  </conditionalFormatting>
  <conditionalFormatting sqref="P4">
    <cfRule type="expression" dxfId="311" priority="17426" stopIfTrue="1">
      <formula>AND(P4&lt;&gt;"", P4 - A2 &gt; 14)</formula>
    </cfRule>
  </conditionalFormatting>
  <conditionalFormatting sqref="P4">
    <cfRule type="expression" dxfId="310" priority="17427" stopIfTrue="1">
      <formula>AND(P4&lt;&gt;"", P4 - A2 &lt;= 14, P4 - A2 &gt; 7)</formula>
    </cfRule>
  </conditionalFormatting>
  <conditionalFormatting sqref="P4">
    <cfRule type="expression" dxfId="309" priority="17428" stopIfTrue="1">
      <formula>AND(P4&lt;&gt;"", P4 - A2 &lt;= 7, P4 - A2 &gt; 2)</formula>
    </cfRule>
  </conditionalFormatting>
  <conditionalFormatting sqref="P4">
    <cfRule type="expression" dxfId="308" priority="17429" stopIfTrue="1">
      <formula>AND(P4&lt;&gt;"", P4 - A2 &lt;= 2)</formula>
    </cfRule>
  </conditionalFormatting>
  <conditionalFormatting sqref="Q4">
    <cfRule type="expression" dxfId="307" priority="17430" stopIfTrue="1">
      <formula>AND(Q4&lt;&gt;"", Q4 - A2 &gt; 14)</formula>
    </cfRule>
  </conditionalFormatting>
  <conditionalFormatting sqref="Q4">
    <cfRule type="expression" dxfId="306" priority="17431" stopIfTrue="1">
      <formula>AND(Q4&lt;&gt;"", Q4 - A2 &lt;= 14, Q4 - A2 &gt; 7)</formula>
    </cfRule>
  </conditionalFormatting>
  <conditionalFormatting sqref="Q4">
    <cfRule type="expression" dxfId="305" priority="17432" stopIfTrue="1">
      <formula>AND(Q4&lt;&gt;"", Q4 - A2 &lt;= 7, Q4 - A2 &gt; 2)</formula>
    </cfRule>
  </conditionalFormatting>
  <conditionalFormatting sqref="Q4">
    <cfRule type="expression" dxfId="304" priority="17433" stopIfTrue="1">
      <formula>AND(Q4&lt;&gt;"", Q4 - A2 &lt;= 2)</formula>
    </cfRule>
  </conditionalFormatting>
  <conditionalFormatting sqref="R4">
    <cfRule type="expression" dxfId="303" priority="17434" stopIfTrue="1">
      <formula>AND(R4&lt;&gt;"", R4 - A2 &gt; 14)</formula>
    </cfRule>
  </conditionalFormatting>
  <conditionalFormatting sqref="R4">
    <cfRule type="expression" dxfId="302" priority="17435" stopIfTrue="1">
      <formula>AND(R4&lt;&gt;"", R4 - A2 &lt;= 14, R4 - A2 &gt; 7)</formula>
    </cfRule>
  </conditionalFormatting>
  <conditionalFormatting sqref="R4">
    <cfRule type="expression" dxfId="301" priority="17436" stopIfTrue="1">
      <formula>AND(R4&lt;&gt;"", R4 - A2 &lt;= 7, R4 - A2 &gt; 2)</formula>
    </cfRule>
  </conditionalFormatting>
  <conditionalFormatting sqref="R4">
    <cfRule type="expression" dxfId="300" priority="17437" stopIfTrue="1">
      <formula>AND(R4&lt;&gt;"", R4 - A2 &lt;= 2)</formula>
    </cfRule>
  </conditionalFormatting>
  <conditionalFormatting sqref="S4">
    <cfRule type="expression" dxfId="299" priority="17438" stopIfTrue="1">
      <formula>AND(S4&lt;&gt;"", S4 - A2 &gt; 14)</formula>
    </cfRule>
  </conditionalFormatting>
  <conditionalFormatting sqref="S4">
    <cfRule type="expression" dxfId="298" priority="17439" stopIfTrue="1">
      <formula>AND(S4&lt;&gt;"", S4 - A2 &lt;= 14, S4 - A2 &gt; 7)</formula>
    </cfRule>
  </conditionalFormatting>
  <conditionalFormatting sqref="S4">
    <cfRule type="expression" dxfId="297" priority="17440" stopIfTrue="1">
      <formula>AND(S4&lt;&gt;"", S4 - A2 &lt;= 7, S4 - A2 &gt; 2)</formula>
    </cfRule>
  </conditionalFormatting>
  <conditionalFormatting sqref="S4">
    <cfRule type="expression" dxfId="296" priority="17441" stopIfTrue="1">
      <formula>AND(S4&lt;&gt;"", S4 - A2 &lt;= 2)</formula>
    </cfRule>
  </conditionalFormatting>
  <conditionalFormatting sqref="T4">
    <cfRule type="expression" dxfId="295" priority="17442" stopIfTrue="1">
      <formula>AND(T4&lt;&gt;"", T4 - A2 &gt; 14)</formula>
    </cfRule>
  </conditionalFormatting>
  <conditionalFormatting sqref="T4">
    <cfRule type="expression" dxfId="294" priority="17443" stopIfTrue="1">
      <formula>AND(T4&lt;&gt;"", T4 - A2 &lt;= 14, T4 - A2 &gt; 7)</formula>
    </cfRule>
  </conditionalFormatting>
  <conditionalFormatting sqref="T4">
    <cfRule type="expression" dxfId="293" priority="17444" stopIfTrue="1">
      <formula>AND(T4&lt;&gt;"", T4 - A2 &lt;= 7, T4 - A2 &gt; 2)</formula>
    </cfRule>
  </conditionalFormatting>
  <conditionalFormatting sqref="T4">
    <cfRule type="expression" dxfId="292" priority="17445" stopIfTrue="1">
      <formula>AND(T4&lt;&gt;"", T4 - A2 &lt;= 2)</formula>
    </cfRule>
  </conditionalFormatting>
  <conditionalFormatting sqref="U4">
    <cfRule type="expression" dxfId="291" priority="17446" stopIfTrue="1">
      <formula>AND(U4&lt;&gt;"", U4 - A2 &gt; 14)</formula>
    </cfRule>
  </conditionalFormatting>
  <conditionalFormatting sqref="U4">
    <cfRule type="expression" dxfId="290" priority="17447" stopIfTrue="1">
      <formula>AND(U4&lt;&gt;"", U4 - A2 &lt;= 14, U4 - A2 &gt; 7)</formula>
    </cfRule>
  </conditionalFormatting>
  <conditionalFormatting sqref="U4">
    <cfRule type="expression" dxfId="289" priority="17448" stopIfTrue="1">
      <formula>AND(U4&lt;&gt;"", U4 - A2 &lt;= 7, U4 - A2 &gt; 2)</formula>
    </cfRule>
  </conditionalFormatting>
  <conditionalFormatting sqref="U4">
    <cfRule type="expression" dxfId="288" priority="17449" stopIfTrue="1">
      <formula>AND(U4&lt;&gt;"", U4 - A2 &lt;= 2)</formula>
    </cfRule>
  </conditionalFormatting>
  <conditionalFormatting sqref="J5">
    <cfRule type="expression" dxfId="287" priority="17450" stopIfTrue="1">
      <formula>AND(J5&lt;&gt;"", J5 - A2 &gt; 14)</formula>
    </cfRule>
  </conditionalFormatting>
  <conditionalFormatting sqref="J5">
    <cfRule type="expression" dxfId="286" priority="17451" stopIfTrue="1">
      <formula>AND(J5&lt;&gt;"", J5 - A2 &lt;= 14, J5 - A2 &gt; 7)</formula>
    </cfRule>
  </conditionalFormatting>
  <conditionalFormatting sqref="J5">
    <cfRule type="expression" dxfId="285" priority="17452" stopIfTrue="1">
      <formula>AND(J5&lt;&gt;"", J5 - A2 &lt;= 7, J5 - A2 &gt; 2)</formula>
    </cfRule>
  </conditionalFormatting>
  <conditionalFormatting sqref="J5">
    <cfRule type="expression" dxfId="284" priority="17453" stopIfTrue="1">
      <formula>AND(J5&lt;&gt;"", J5 - A2 &lt;= 2)</formula>
    </cfRule>
  </conditionalFormatting>
  <conditionalFormatting sqref="K5">
    <cfRule type="expression" dxfId="283" priority="17454" stopIfTrue="1">
      <formula>AND(K5&lt;&gt;"", K5 - A2 &gt; 14)</formula>
    </cfRule>
  </conditionalFormatting>
  <conditionalFormatting sqref="K5">
    <cfRule type="expression" dxfId="282" priority="17455" stopIfTrue="1">
      <formula>AND(K5&lt;&gt;"", K5 - A2 &lt;= 14, K5 - A2 &gt; 7)</formula>
    </cfRule>
  </conditionalFormatting>
  <conditionalFormatting sqref="K5">
    <cfRule type="expression" dxfId="281" priority="17456" stopIfTrue="1">
      <formula>AND(K5&lt;&gt;"", K5 - A2 &lt;= 7, K5 - A2 &gt; 2)</formula>
    </cfRule>
  </conditionalFormatting>
  <conditionalFormatting sqref="K5">
    <cfRule type="expression" dxfId="280" priority="17457" stopIfTrue="1">
      <formula>AND(K5&lt;&gt;"", K5 - A2 &lt;= 2)</formula>
    </cfRule>
  </conditionalFormatting>
  <conditionalFormatting sqref="L5">
    <cfRule type="expression" dxfId="279" priority="17458" stopIfTrue="1">
      <formula>AND(L5&lt;&gt;"", L5 - A2 &gt; 14)</formula>
    </cfRule>
  </conditionalFormatting>
  <conditionalFormatting sqref="L5">
    <cfRule type="expression" dxfId="278" priority="17459" stopIfTrue="1">
      <formula>AND(L5&lt;&gt;"", L5 - A2 &lt;= 14, L5 - A2 &gt; 7)</formula>
    </cfRule>
  </conditionalFormatting>
  <conditionalFormatting sqref="L5">
    <cfRule type="expression" dxfId="277" priority="17460" stopIfTrue="1">
      <formula>AND(L5&lt;&gt;"", L5 - A2 &lt;= 7, L5 - A2 &gt; 2)</formula>
    </cfRule>
  </conditionalFormatting>
  <conditionalFormatting sqref="L5">
    <cfRule type="expression" dxfId="276" priority="17461" stopIfTrue="1">
      <formula>AND(L5&lt;&gt;"", L5 - A2 &lt;= 2)</formula>
    </cfRule>
  </conditionalFormatting>
  <conditionalFormatting sqref="M5">
    <cfRule type="expression" dxfId="275" priority="17462" stopIfTrue="1">
      <formula>AND(M5&lt;&gt;"", M5 - A2 &gt; 14)</formula>
    </cfRule>
  </conditionalFormatting>
  <conditionalFormatting sqref="M5">
    <cfRule type="expression" dxfId="274" priority="17463" stopIfTrue="1">
      <formula>AND(M5&lt;&gt;"", M5 - A2 &lt;= 14, M5 - A2 &gt; 7)</formula>
    </cfRule>
  </conditionalFormatting>
  <conditionalFormatting sqref="M5">
    <cfRule type="expression" dxfId="273" priority="17464" stopIfTrue="1">
      <formula>AND(M5&lt;&gt;"", M5 - A2 &lt;= 7, M5 - A2 &gt; 2)</formula>
    </cfRule>
  </conditionalFormatting>
  <conditionalFormatting sqref="M5">
    <cfRule type="expression" dxfId="272" priority="17465" stopIfTrue="1">
      <formula>AND(M5&lt;&gt;"", M5 - A2 &lt;= 2)</formula>
    </cfRule>
  </conditionalFormatting>
  <conditionalFormatting sqref="N5">
    <cfRule type="expression" dxfId="271" priority="17466" stopIfTrue="1">
      <formula>AND(N5&lt;&gt;"", N5 - A2 &gt; 14)</formula>
    </cfRule>
  </conditionalFormatting>
  <conditionalFormatting sqref="N5">
    <cfRule type="expression" dxfId="270" priority="17467" stopIfTrue="1">
      <formula>AND(N5&lt;&gt;"", N5 - A2 &lt;= 14, N5 - A2 &gt; 7)</formula>
    </cfRule>
  </conditionalFormatting>
  <conditionalFormatting sqref="N5">
    <cfRule type="expression" dxfId="269" priority="17468" stopIfTrue="1">
      <formula>AND(N5&lt;&gt;"", N5 - A2 &lt;= 7, N5 - A2 &gt; 2)</formula>
    </cfRule>
  </conditionalFormatting>
  <conditionalFormatting sqref="N5">
    <cfRule type="expression" dxfId="268" priority="17469" stopIfTrue="1">
      <formula>AND(N5&lt;&gt;"", N5 - A2 &lt;= 2)</formula>
    </cfRule>
  </conditionalFormatting>
  <conditionalFormatting sqref="O5">
    <cfRule type="expression" dxfId="267" priority="17470" stopIfTrue="1">
      <formula>AND(O5&lt;&gt;"", O5 - A2 &gt; 14)</formula>
    </cfRule>
  </conditionalFormatting>
  <conditionalFormatting sqref="O5">
    <cfRule type="expression" dxfId="266" priority="17471" stopIfTrue="1">
      <formula>AND(O5&lt;&gt;"", O5 - A2 &lt;= 14, O5 - A2 &gt; 7)</formula>
    </cfRule>
  </conditionalFormatting>
  <conditionalFormatting sqref="O5">
    <cfRule type="expression" dxfId="265" priority="17472" stopIfTrue="1">
      <formula>AND(O5&lt;&gt;"", O5 - A2 &lt;= 7, O5 - A2 &gt; 2)</formula>
    </cfRule>
  </conditionalFormatting>
  <conditionalFormatting sqref="O5">
    <cfRule type="expression" dxfId="264" priority="17473" stopIfTrue="1">
      <formula>AND(O5&lt;&gt;"", O5 - A2 &lt;= 2)</formula>
    </cfRule>
  </conditionalFormatting>
  <conditionalFormatting sqref="P5">
    <cfRule type="expression" dxfId="263" priority="17474" stopIfTrue="1">
      <formula>AND(P5&lt;&gt;"", P5 - A2 &gt; 14)</formula>
    </cfRule>
  </conditionalFormatting>
  <conditionalFormatting sqref="P5">
    <cfRule type="expression" dxfId="262" priority="17475" stopIfTrue="1">
      <formula>AND(P5&lt;&gt;"", P5 - A2 &lt;= 14, P5 - A2 &gt; 7)</formula>
    </cfRule>
  </conditionalFormatting>
  <conditionalFormatting sqref="P5">
    <cfRule type="expression" dxfId="261" priority="17476" stopIfTrue="1">
      <formula>AND(P5&lt;&gt;"", P5 - A2 &lt;= 7, P5 - A2 &gt; 2)</formula>
    </cfRule>
  </conditionalFormatting>
  <conditionalFormatting sqref="P5">
    <cfRule type="expression" dxfId="260" priority="17477" stopIfTrue="1">
      <formula>AND(P5&lt;&gt;"", P5 - A2 &lt;= 2)</formula>
    </cfRule>
  </conditionalFormatting>
  <conditionalFormatting sqref="Q5">
    <cfRule type="expression" dxfId="259" priority="17478" stopIfTrue="1">
      <formula>AND(Q5&lt;&gt;"", Q5 - A2 &gt; 14)</formula>
    </cfRule>
  </conditionalFormatting>
  <conditionalFormatting sqref="Q5">
    <cfRule type="expression" dxfId="258" priority="17479" stopIfTrue="1">
      <formula>AND(Q5&lt;&gt;"", Q5 - A2 &lt;= 14, Q5 - A2 &gt; 7)</formula>
    </cfRule>
  </conditionalFormatting>
  <conditionalFormatting sqref="Q5">
    <cfRule type="expression" dxfId="257" priority="17480" stopIfTrue="1">
      <formula>AND(Q5&lt;&gt;"", Q5 - A2 &lt;= 7, Q5 - A2 &gt; 2)</formula>
    </cfRule>
  </conditionalFormatting>
  <conditionalFormatting sqref="Q5">
    <cfRule type="expression" dxfId="256" priority="17481" stopIfTrue="1">
      <formula>AND(Q5&lt;&gt;"", Q5 - A2 &lt;= 2)</formula>
    </cfRule>
  </conditionalFormatting>
  <conditionalFormatting sqref="R5">
    <cfRule type="expression" dxfId="255" priority="17482" stopIfTrue="1">
      <formula>AND(R5&lt;&gt;"", R5 - A2 &gt; 14)</formula>
    </cfRule>
  </conditionalFormatting>
  <conditionalFormatting sqref="R5">
    <cfRule type="expression" dxfId="254" priority="17483" stopIfTrue="1">
      <formula>AND(R5&lt;&gt;"", R5 - A2 &lt;= 14, R5 - A2 &gt; 7)</formula>
    </cfRule>
  </conditionalFormatting>
  <conditionalFormatting sqref="R5">
    <cfRule type="expression" dxfId="253" priority="17484" stopIfTrue="1">
      <formula>AND(R5&lt;&gt;"", R5 - A2 &lt;= 7, R5 - A2 &gt; 2)</formula>
    </cfRule>
  </conditionalFormatting>
  <conditionalFormatting sqref="R5">
    <cfRule type="expression" dxfId="252" priority="17485" stopIfTrue="1">
      <formula>AND(R5&lt;&gt;"", R5 - A2 &lt;= 2)</formula>
    </cfRule>
  </conditionalFormatting>
  <conditionalFormatting sqref="S5">
    <cfRule type="expression" dxfId="251" priority="17486" stopIfTrue="1">
      <formula>AND(S5&lt;&gt;"", S5 - A2 &gt; 14)</formula>
    </cfRule>
  </conditionalFormatting>
  <conditionalFormatting sqref="S5">
    <cfRule type="expression" dxfId="250" priority="17487" stopIfTrue="1">
      <formula>AND(S5&lt;&gt;"", S5 - A2 &lt;= 14, S5 - A2 &gt; 7)</formula>
    </cfRule>
  </conditionalFormatting>
  <conditionalFormatting sqref="S5">
    <cfRule type="expression" dxfId="249" priority="17488" stopIfTrue="1">
      <formula>AND(S5&lt;&gt;"", S5 - A2 &lt;= 7, S5 - A2 &gt; 2)</formula>
    </cfRule>
  </conditionalFormatting>
  <conditionalFormatting sqref="S5">
    <cfRule type="expression" dxfId="248" priority="17489" stopIfTrue="1">
      <formula>AND(S5&lt;&gt;"", S5 - A2 &lt;= 2)</formula>
    </cfRule>
  </conditionalFormatting>
  <conditionalFormatting sqref="T5">
    <cfRule type="expression" dxfId="247" priority="17490" stopIfTrue="1">
      <formula>AND(T5&lt;&gt;"", T5 - A2 &gt; 14)</formula>
    </cfRule>
  </conditionalFormatting>
  <conditionalFormatting sqref="T5">
    <cfRule type="expression" dxfId="246" priority="17491" stopIfTrue="1">
      <formula>AND(T5&lt;&gt;"", T5 - A2 &lt;= 14, T5 - A2 &gt; 7)</formula>
    </cfRule>
  </conditionalFormatting>
  <conditionalFormatting sqref="T5">
    <cfRule type="expression" dxfId="245" priority="17492" stopIfTrue="1">
      <formula>AND(T5&lt;&gt;"", T5 - A2 &lt;= 7, T5 - A2 &gt; 2)</formula>
    </cfRule>
  </conditionalFormatting>
  <conditionalFormatting sqref="T5">
    <cfRule type="expression" dxfId="244" priority="17493" stopIfTrue="1">
      <formula>AND(T5&lt;&gt;"", T5 - A2 &lt;= 2)</formula>
    </cfRule>
  </conditionalFormatting>
  <conditionalFormatting sqref="U5">
    <cfRule type="expression" dxfId="243" priority="17494" stopIfTrue="1">
      <formula>AND(U5&lt;&gt;"", U5 - A2 &gt; 14)</formula>
    </cfRule>
  </conditionalFormatting>
  <conditionalFormatting sqref="U5">
    <cfRule type="expression" dxfId="242" priority="17495" stopIfTrue="1">
      <formula>AND(U5&lt;&gt;"", U5 - A2 &lt;= 14, U5 - A2 &gt; 7)</formula>
    </cfRule>
  </conditionalFormatting>
  <conditionalFormatting sqref="U5">
    <cfRule type="expression" dxfId="241" priority="17496" stopIfTrue="1">
      <formula>AND(U5&lt;&gt;"", U5 - A2 &lt;= 7, U5 - A2 &gt; 2)</formula>
    </cfRule>
  </conditionalFormatting>
  <conditionalFormatting sqref="U5">
    <cfRule type="expression" dxfId="240" priority="17497" stopIfTrue="1">
      <formula>AND(U5&lt;&gt;"", U5 - A2 &lt;= 2)</formula>
    </cfRule>
  </conditionalFormatting>
  <conditionalFormatting sqref="J6">
    <cfRule type="expression" dxfId="239" priority="17498" stopIfTrue="1">
      <formula>AND(J6&lt;&gt;"", J6 - A2 &gt; 14)</formula>
    </cfRule>
    <cfRule type="expression" dxfId="238" priority="17499" stopIfTrue="1">
      <formula>AND(J6&lt;&gt;"", J6 - A2 &lt;= 14, J6 - A2 &gt; 7)</formula>
    </cfRule>
    <cfRule type="expression" dxfId="237" priority="17500" stopIfTrue="1">
      <formula>AND(J6&lt;&gt;"", J6 - A2 &lt;= 7, J6 - A2 &gt; 2)</formula>
    </cfRule>
    <cfRule type="expression" dxfId="236" priority="17501" stopIfTrue="1">
      <formula>AND(J6&lt;&gt;"", J6 - A2 &lt;= 2)</formula>
    </cfRule>
  </conditionalFormatting>
  <conditionalFormatting sqref="K6">
    <cfRule type="expression" dxfId="235" priority="17502" stopIfTrue="1">
      <formula>AND(K6&lt;&gt;"", K6 - A2 &gt; 14)</formula>
    </cfRule>
    <cfRule type="expression" dxfId="234" priority="17503" stopIfTrue="1">
      <formula>AND(K6&lt;&gt;"", K6 - A2 &lt;= 14, K6 - A2 &gt; 7)</formula>
    </cfRule>
    <cfRule type="expression" dxfId="233" priority="17504" stopIfTrue="1">
      <formula>AND(K6&lt;&gt;"", K6 - A2 &lt;= 7, K6 - A2 &gt; 2)</formula>
    </cfRule>
    <cfRule type="expression" dxfId="232" priority="17505" stopIfTrue="1">
      <formula>AND(K6&lt;&gt;"", K6 - A2 &lt;= 2)</formula>
    </cfRule>
  </conditionalFormatting>
  <conditionalFormatting sqref="L6">
    <cfRule type="expression" dxfId="231" priority="17506" stopIfTrue="1">
      <formula>AND(L6&lt;&gt;"", L6 - A2 &gt; 14)</formula>
    </cfRule>
  </conditionalFormatting>
  <conditionalFormatting sqref="L6">
    <cfRule type="expression" dxfId="230" priority="17507" stopIfTrue="1">
      <formula>AND(L6&lt;&gt;"", L6 - A2 &lt;= 14, L6 - A2 &gt; 7)</formula>
    </cfRule>
  </conditionalFormatting>
  <conditionalFormatting sqref="L6">
    <cfRule type="expression" dxfId="229" priority="17508" stopIfTrue="1">
      <formula>AND(L6&lt;&gt;"", L6 - A2 &lt;= 7, L6 - A2 &gt; 2)</formula>
    </cfRule>
  </conditionalFormatting>
  <conditionalFormatting sqref="L6">
    <cfRule type="expression" dxfId="228" priority="17509" stopIfTrue="1">
      <formula>AND(L6&lt;&gt;"", L6 - A2 &lt;= 2)</formula>
    </cfRule>
  </conditionalFormatting>
  <conditionalFormatting sqref="M6">
    <cfRule type="expression" dxfId="227" priority="17510" stopIfTrue="1">
      <formula>AND(M6&lt;&gt;"", M6 - A2 &gt; 14)</formula>
    </cfRule>
  </conditionalFormatting>
  <conditionalFormatting sqref="M6">
    <cfRule type="expression" dxfId="226" priority="17511" stopIfTrue="1">
      <formula>AND(M6&lt;&gt;"", M6 - A2 &lt;= 14, M6 - A2 &gt; 7)</formula>
    </cfRule>
  </conditionalFormatting>
  <conditionalFormatting sqref="M6">
    <cfRule type="expression" dxfId="225" priority="17512" stopIfTrue="1">
      <formula>AND(M6&lt;&gt;"", M6 - A2 &lt;= 7, M6 - A2 &gt; 2)</formula>
    </cfRule>
  </conditionalFormatting>
  <conditionalFormatting sqref="M6">
    <cfRule type="expression" dxfId="224" priority="17513" stopIfTrue="1">
      <formula>AND(M6&lt;&gt;"", M6 - A2 &lt;= 2)</formula>
    </cfRule>
  </conditionalFormatting>
  <conditionalFormatting sqref="N6">
    <cfRule type="expression" dxfId="223" priority="17514" stopIfTrue="1">
      <formula>AND(N6&lt;&gt;"", N6 - A2 &gt; 14)</formula>
    </cfRule>
  </conditionalFormatting>
  <conditionalFormatting sqref="N6">
    <cfRule type="expression" dxfId="222" priority="17515" stopIfTrue="1">
      <formula>AND(N6&lt;&gt;"", N6 - A2 &lt;= 14, N6 - A2 &gt; 7)</formula>
    </cfRule>
  </conditionalFormatting>
  <conditionalFormatting sqref="N6">
    <cfRule type="expression" dxfId="221" priority="17516" stopIfTrue="1">
      <formula>AND(N6&lt;&gt;"", N6 - A2 &lt;= 7, N6 - A2 &gt; 2)</formula>
    </cfRule>
  </conditionalFormatting>
  <conditionalFormatting sqref="N6">
    <cfRule type="expression" dxfId="220" priority="17517" stopIfTrue="1">
      <formula>AND(N6&lt;&gt;"", N6 - A2 &lt;= 2)</formula>
    </cfRule>
  </conditionalFormatting>
  <conditionalFormatting sqref="O6">
    <cfRule type="expression" dxfId="219" priority="17518" stopIfTrue="1">
      <formula>AND(O6&lt;&gt;"", O6 - A2 &gt; 14)</formula>
    </cfRule>
  </conditionalFormatting>
  <conditionalFormatting sqref="O6">
    <cfRule type="expression" dxfId="218" priority="17519" stopIfTrue="1">
      <formula>AND(O6&lt;&gt;"", O6 - A2 &lt;= 14, O6 - A2 &gt; 7)</formula>
    </cfRule>
  </conditionalFormatting>
  <conditionalFormatting sqref="O6">
    <cfRule type="expression" dxfId="217" priority="17520" stopIfTrue="1">
      <formula>AND(O6&lt;&gt;"", O6 - A2 &lt;= 7, O6 - A2 &gt; 2)</formula>
    </cfRule>
  </conditionalFormatting>
  <conditionalFormatting sqref="O6">
    <cfRule type="expression" dxfId="216" priority="17521" stopIfTrue="1">
      <formula>AND(O6&lt;&gt;"", O6 - A2 &lt;= 2)</formula>
    </cfRule>
  </conditionalFormatting>
  <conditionalFormatting sqref="P6">
    <cfRule type="expression" dxfId="215" priority="17522" stopIfTrue="1">
      <formula>AND(P6&lt;&gt;"", P6 - A2 &gt; 14)</formula>
    </cfRule>
  </conditionalFormatting>
  <conditionalFormatting sqref="P6">
    <cfRule type="expression" dxfId="214" priority="17523" stopIfTrue="1">
      <formula>AND(P6&lt;&gt;"", P6 - A2 &lt;= 14, P6 - A2 &gt; 7)</formula>
    </cfRule>
  </conditionalFormatting>
  <conditionalFormatting sqref="P6">
    <cfRule type="expression" dxfId="213" priority="17524" stopIfTrue="1">
      <formula>AND(P6&lt;&gt;"", P6 - A2 &lt;= 7, P6 - A2 &gt; 2)</formula>
    </cfRule>
  </conditionalFormatting>
  <conditionalFormatting sqref="P6">
    <cfRule type="expression" dxfId="212" priority="17525" stopIfTrue="1">
      <formula>AND(P6&lt;&gt;"", P6 - A2 &lt;= 2)</formula>
    </cfRule>
  </conditionalFormatting>
  <conditionalFormatting sqref="Q6">
    <cfRule type="expression" dxfId="211" priority="17526" stopIfTrue="1">
      <formula>AND(Q6&lt;&gt;"", Q6 - A2 &gt; 14)</formula>
    </cfRule>
  </conditionalFormatting>
  <conditionalFormatting sqref="Q6">
    <cfRule type="expression" dxfId="210" priority="17527" stopIfTrue="1">
      <formula>AND(Q6&lt;&gt;"", Q6 - A2 &lt;= 14, Q6 - A2 &gt; 7)</formula>
    </cfRule>
  </conditionalFormatting>
  <conditionalFormatting sqref="Q6">
    <cfRule type="expression" dxfId="209" priority="17528" stopIfTrue="1">
      <formula>AND(Q6&lt;&gt;"", Q6 - A2 &lt;= 7, Q6 - A2 &gt; 2)</formula>
    </cfRule>
  </conditionalFormatting>
  <conditionalFormatting sqref="Q6">
    <cfRule type="expression" dxfId="208" priority="17529" stopIfTrue="1">
      <formula>AND(Q6&lt;&gt;"", Q6 - A2 &lt;= 2)</formula>
    </cfRule>
  </conditionalFormatting>
  <conditionalFormatting sqref="R6">
    <cfRule type="expression" dxfId="207" priority="17530" stopIfTrue="1">
      <formula>AND(R6&lt;&gt;"", R6 - A2 &gt; 14)</formula>
    </cfRule>
  </conditionalFormatting>
  <conditionalFormatting sqref="R6">
    <cfRule type="expression" dxfId="206" priority="17531" stopIfTrue="1">
      <formula>AND(R6&lt;&gt;"", R6 - A2 &lt;= 14, R6 - A2 &gt; 7)</formula>
    </cfRule>
  </conditionalFormatting>
  <conditionalFormatting sqref="R6">
    <cfRule type="expression" dxfId="205" priority="17532" stopIfTrue="1">
      <formula>AND(R6&lt;&gt;"", R6 - A2 &lt;= 7, R6 - A2 &gt; 2)</formula>
    </cfRule>
  </conditionalFormatting>
  <conditionalFormatting sqref="R6">
    <cfRule type="expression" dxfId="204" priority="17533" stopIfTrue="1">
      <formula>AND(R6&lt;&gt;"", R6 - A2 &lt;= 2)</formula>
    </cfRule>
  </conditionalFormatting>
  <conditionalFormatting sqref="S6">
    <cfRule type="expression" dxfId="203" priority="17534" stopIfTrue="1">
      <formula>AND(S6&lt;&gt;"", S6 - A2 &gt; 14)</formula>
    </cfRule>
  </conditionalFormatting>
  <conditionalFormatting sqref="S6">
    <cfRule type="expression" dxfId="202" priority="17535" stopIfTrue="1">
      <formula>AND(S6&lt;&gt;"", S6 - A2 &lt;= 14, S6 - A2 &gt; 7)</formula>
    </cfRule>
  </conditionalFormatting>
  <conditionalFormatting sqref="S6">
    <cfRule type="expression" dxfId="201" priority="17536" stopIfTrue="1">
      <formula>AND(S6&lt;&gt;"", S6 - A2 &lt;= 7, S6 - A2 &gt; 2)</formula>
    </cfRule>
  </conditionalFormatting>
  <conditionalFormatting sqref="S6">
    <cfRule type="expression" dxfId="200" priority="17537" stopIfTrue="1">
      <formula>AND(S6&lt;&gt;"", S6 - A2 &lt;= 2)</formula>
    </cfRule>
  </conditionalFormatting>
  <conditionalFormatting sqref="T6">
    <cfRule type="expression" dxfId="199" priority="17538" stopIfTrue="1">
      <formula>AND(T6&lt;&gt;"", T6 - A2 &gt; 14)</formula>
    </cfRule>
  </conditionalFormatting>
  <conditionalFormatting sqref="T6">
    <cfRule type="expression" dxfId="198" priority="17539" stopIfTrue="1">
      <formula>AND(T6&lt;&gt;"", T6 - A2 &lt;= 14, T6 - A2 &gt; 7)</formula>
    </cfRule>
  </conditionalFormatting>
  <conditionalFormatting sqref="T6">
    <cfRule type="expression" dxfId="197" priority="17540" stopIfTrue="1">
      <formula>AND(T6&lt;&gt;"", T6 - A2 &lt;= 7, T6 - A2 &gt; 2)</formula>
    </cfRule>
  </conditionalFormatting>
  <conditionalFormatting sqref="T6">
    <cfRule type="expression" dxfId="196" priority="17541" stopIfTrue="1">
      <formula>AND(T6&lt;&gt;"", T6 - A2 &lt;= 2)</formula>
    </cfRule>
  </conditionalFormatting>
  <conditionalFormatting sqref="U6">
    <cfRule type="expression" dxfId="195" priority="17542" stopIfTrue="1">
      <formula>AND(U6&lt;&gt;"", U6 - A2 &gt; 14)</formula>
    </cfRule>
  </conditionalFormatting>
  <conditionalFormatting sqref="U6">
    <cfRule type="expression" dxfId="194" priority="17543" stopIfTrue="1">
      <formula>AND(U6&lt;&gt;"", U6 - A2 &lt;= 14, U6 - A2 &gt; 7)</formula>
    </cfRule>
  </conditionalFormatting>
  <conditionalFormatting sqref="U6">
    <cfRule type="expression" dxfId="193" priority="17544" stopIfTrue="1">
      <formula>AND(U6&lt;&gt;"", U6 - A2 &lt;= 7, U6 - A2 &gt; 2)</formula>
    </cfRule>
  </conditionalFormatting>
  <conditionalFormatting sqref="U6">
    <cfRule type="expression" dxfId="192" priority="17545" stopIfTrue="1">
      <formula>AND(U6&lt;&gt;"", U6 - A2 &lt;= 2)</formula>
    </cfRule>
  </conditionalFormatting>
  <conditionalFormatting sqref="J7">
    <cfRule type="expression" dxfId="191" priority="17546" stopIfTrue="1">
      <formula>AND(J7&lt;&gt;"", J7 - A2 &gt; 14)</formula>
    </cfRule>
  </conditionalFormatting>
  <conditionalFormatting sqref="J7">
    <cfRule type="expression" dxfId="190" priority="17547" stopIfTrue="1">
      <formula>AND(J7&lt;&gt;"", J7 - A2 &lt;= 14, J7 - A2 &gt; 7)</formula>
    </cfRule>
  </conditionalFormatting>
  <conditionalFormatting sqref="J7">
    <cfRule type="expression" dxfId="189" priority="17548" stopIfTrue="1">
      <formula>AND(J7&lt;&gt;"", J7 - A2 &lt;= 7, J7 - A2 &gt; 2)</formula>
    </cfRule>
  </conditionalFormatting>
  <conditionalFormatting sqref="J7">
    <cfRule type="expression" dxfId="188" priority="17549" stopIfTrue="1">
      <formula>AND(J7&lt;&gt;"", J7 - A2 &lt;= 2)</formula>
    </cfRule>
  </conditionalFormatting>
  <conditionalFormatting sqref="K7">
    <cfRule type="expression" dxfId="187" priority="17550" stopIfTrue="1">
      <formula>AND(K7&lt;&gt;"", K7 - A2 &gt; 14)</formula>
    </cfRule>
  </conditionalFormatting>
  <conditionalFormatting sqref="K7">
    <cfRule type="expression" dxfId="186" priority="17551" stopIfTrue="1">
      <formula>AND(K7&lt;&gt;"", K7 - A2 &lt;= 14, K7 - A2 &gt; 7)</formula>
    </cfRule>
  </conditionalFormatting>
  <conditionalFormatting sqref="K7">
    <cfRule type="expression" dxfId="185" priority="17552" stopIfTrue="1">
      <formula>AND(K7&lt;&gt;"", K7 - A2 &lt;= 7, K7 - A2 &gt; 2)</formula>
    </cfRule>
  </conditionalFormatting>
  <conditionalFormatting sqref="K7">
    <cfRule type="expression" dxfId="184" priority="17553" stopIfTrue="1">
      <formula>AND(K7&lt;&gt;"", K7 - A2 &lt;= 2)</formula>
    </cfRule>
  </conditionalFormatting>
  <conditionalFormatting sqref="L7">
    <cfRule type="expression" dxfId="183" priority="17554" stopIfTrue="1">
      <formula>AND(L7&lt;&gt;"", L7 - A2 &gt; 14)</formula>
    </cfRule>
  </conditionalFormatting>
  <conditionalFormatting sqref="L7">
    <cfRule type="expression" dxfId="182" priority="17555" stopIfTrue="1">
      <formula>AND(L7&lt;&gt;"", L7 - A2 &lt;= 14, L7 - A2 &gt; 7)</formula>
    </cfRule>
  </conditionalFormatting>
  <conditionalFormatting sqref="L7">
    <cfRule type="expression" dxfId="181" priority="17556" stopIfTrue="1">
      <formula>AND(L7&lt;&gt;"", L7 - A2 &lt;= 7, L7 - A2 &gt; 2)</formula>
    </cfRule>
  </conditionalFormatting>
  <conditionalFormatting sqref="L7">
    <cfRule type="expression" dxfId="180" priority="17557" stopIfTrue="1">
      <formula>AND(L7&lt;&gt;"", L7 - A2 &lt;= 2)</formula>
    </cfRule>
  </conditionalFormatting>
  <conditionalFormatting sqref="M7">
    <cfRule type="expression" dxfId="179" priority="17558" stopIfTrue="1">
      <formula>AND(M7&lt;&gt;"", M7 - A2 &gt; 14)</formula>
    </cfRule>
  </conditionalFormatting>
  <conditionalFormatting sqref="M7">
    <cfRule type="expression" dxfId="178" priority="17559" stopIfTrue="1">
      <formula>AND(M7&lt;&gt;"", M7 - A2 &lt;= 14, M7 - A2 &gt; 7)</formula>
    </cfRule>
  </conditionalFormatting>
  <conditionalFormatting sqref="M7">
    <cfRule type="expression" dxfId="177" priority="17560" stopIfTrue="1">
      <formula>AND(M7&lt;&gt;"", M7 - A2 &lt;= 7, M7 - A2 &gt; 2)</formula>
    </cfRule>
  </conditionalFormatting>
  <conditionalFormatting sqref="M7">
    <cfRule type="expression" dxfId="176" priority="17561" stopIfTrue="1">
      <formula>AND(M7&lt;&gt;"", M7 - A2 &lt;= 2)</formula>
    </cfRule>
  </conditionalFormatting>
  <conditionalFormatting sqref="N7">
    <cfRule type="expression" dxfId="175" priority="17562" stopIfTrue="1">
      <formula>AND(N7&lt;&gt;"", N7 - A2 &gt; 14)</formula>
    </cfRule>
  </conditionalFormatting>
  <conditionalFormatting sqref="N7">
    <cfRule type="expression" dxfId="174" priority="17563" stopIfTrue="1">
      <formula>AND(N7&lt;&gt;"", N7 - A2 &lt;= 14, N7 - A2 &gt; 7)</formula>
    </cfRule>
  </conditionalFormatting>
  <conditionalFormatting sqref="N7">
    <cfRule type="expression" dxfId="173" priority="17564" stopIfTrue="1">
      <formula>AND(N7&lt;&gt;"", N7 - A2 &lt;= 7, N7 - A2 &gt; 2)</formula>
    </cfRule>
  </conditionalFormatting>
  <conditionalFormatting sqref="N7">
    <cfRule type="expression" dxfId="172" priority="17565" stopIfTrue="1">
      <formula>AND(N7&lt;&gt;"", N7 - A2 &lt;= 2)</formula>
    </cfRule>
  </conditionalFormatting>
  <conditionalFormatting sqref="O7">
    <cfRule type="expression" dxfId="171" priority="17566" stopIfTrue="1">
      <formula>AND(O7&lt;&gt;"", O7 - A2 &gt; 14)</formula>
    </cfRule>
  </conditionalFormatting>
  <conditionalFormatting sqref="O7">
    <cfRule type="expression" dxfId="170" priority="17567" stopIfTrue="1">
      <formula>AND(O7&lt;&gt;"", O7 - A2 &lt;= 14, O7 - A2 &gt; 7)</formula>
    </cfRule>
  </conditionalFormatting>
  <conditionalFormatting sqref="O7">
    <cfRule type="expression" dxfId="169" priority="17568" stopIfTrue="1">
      <formula>AND(O7&lt;&gt;"", O7 - A2 &lt;= 7, O7 - A2 &gt; 2)</formula>
    </cfRule>
  </conditionalFormatting>
  <conditionalFormatting sqref="O7">
    <cfRule type="expression" dxfId="168" priority="17569" stopIfTrue="1">
      <formula>AND(O7&lt;&gt;"", O7 - A2 &lt;= 2)</formula>
    </cfRule>
  </conditionalFormatting>
  <conditionalFormatting sqref="P7">
    <cfRule type="expression" dxfId="167" priority="17570" stopIfTrue="1">
      <formula>AND(P7&lt;&gt;"", P7 - A2 &gt; 14)</formula>
    </cfRule>
  </conditionalFormatting>
  <conditionalFormatting sqref="P7">
    <cfRule type="expression" dxfId="166" priority="17571" stopIfTrue="1">
      <formula>AND(P7&lt;&gt;"", P7 - A2 &lt;= 14, P7 - A2 &gt; 7)</formula>
    </cfRule>
  </conditionalFormatting>
  <conditionalFormatting sqref="P7">
    <cfRule type="expression" dxfId="165" priority="17572" stopIfTrue="1">
      <formula>AND(P7&lt;&gt;"", P7 - A2 &lt;= 7, P7 - A2 &gt; 2)</formula>
    </cfRule>
  </conditionalFormatting>
  <conditionalFormatting sqref="P7">
    <cfRule type="expression" dxfId="164" priority="17573" stopIfTrue="1">
      <formula>AND(P7&lt;&gt;"", P7 - A2 &lt;= 2)</formula>
    </cfRule>
  </conditionalFormatting>
  <conditionalFormatting sqref="Q7">
    <cfRule type="expression" dxfId="163" priority="17574" stopIfTrue="1">
      <formula>AND(Q7&lt;&gt;"", Q7 - A2 &gt; 14)</formula>
    </cfRule>
  </conditionalFormatting>
  <conditionalFormatting sqref="Q7">
    <cfRule type="expression" dxfId="162" priority="17575" stopIfTrue="1">
      <formula>AND(Q7&lt;&gt;"", Q7 - A2 &lt;= 14, Q7 - A2 &gt; 7)</formula>
    </cfRule>
  </conditionalFormatting>
  <conditionalFormatting sqref="Q7">
    <cfRule type="expression" dxfId="161" priority="17576" stopIfTrue="1">
      <formula>AND(Q7&lt;&gt;"", Q7 - A2 &lt;= 7, Q7 - A2 &gt; 2)</formula>
    </cfRule>
  </conditionalFormatting>
  <conditionalFormatting sqref="Q7">
    <cfRule type="expression" dxfId="160" priority="17577" stopIfTrue="1">
      <formula>AND(Q7&lt;&gt;"", Q7 - A2 &lt;= 2)</formula>
    </cfRule>
  </conditionalFormatting>
  <conditionalFormatting sqref="R7">
    <cfRule type="expression" dxfId="159" priority="17578" stopIfTrue="1">
      <formula>AND(R7&lt;&gt;"", R7 - A2 &gt; 14)</formula>
    </cfRule>
  </conditionalFormatting>
  <conditionalFormatting sqref="R7">
    <cfRule type="expression" dxfId="158" priority="17579" stopIfTrue="1">
      <formula>AND(R7&lt;&gt;"", R7 - A2 &lt;= 14, R7 - A2 &gt; 7)</formula>
    </cfRule>
  </conditionalFormatting>
  <conditionalFormatting sqref="R7">
    <cfRule type="expression" dxfId="157" priority="17580" stopIfTrue="1">
      <formula>AND(R7&lt;&gt;"", R7 - A2 &lt;= 7, R7 - A2 &gt; 2)</formula>
    </cfRule>
  </conditionalFormatting>
  <conditionalFormatting sqref="R7">
    <cfRule type="expression" dxfId="156" priority="17581" stopIfTrue="1">
      <formula>AND(R7&lt;&gt;"", R7 - A2 &lt;= 2)</formula>
    </cfRule>
  </conditionalFormatting>
  <conditionalFormatting sqref="S7">
    <cfRule type="expression" dxfId="155" priority="17582" stopIfTrue="1">
      <formula>AND(S7&lt;&gt;"", S7 - A2 &gt; 14)</formula>
    </cfRule>
  </conditionalFormatting>
  <conditionalFormatting sqref="S7">
    <cfRule type="expression" dxfId="154" priority="17583" stopIfTrue="1">
      <formula>AND(S7&lt;&gt;"", S7 - A2 &lt;= 14, S7 - A2 &gt; 7)</formula>
    </cfRule>
  </conditionalFormatting>
  <conditionalFormatting sqref="S7">
    <cfRule type="expression" dxfId="153" priority="17584" stopIfTrue="1">
      <formula>AND(S7&lt;&gt;"", S7 - A2 &lt;= 7, S7 - A2 &gt; 2)</formula>
    </cfRule>
  </conditionalFormatting>
  <conditionalFormatting sqref="S7">
    <cfRule type="expression" dxfId="152" priority="17585" stopIfTrue="1">
      <formula>AND(S7&lt;&gt;"", S7 - A2 &lt;= 2)</formula>
    </cfRule>
  </conditionalFormatting>
  <conditionalFormatting sqref="T7">
    <cfRule type="expression" dxfId="151" priority="17586" stopIfTrue="1">
      <formula>AND(T7&lt;&gt;"", T7 - A2 &gt; 14)</formula>
    </cfRule>
  </conditionalFormatting>
  <conditionalFormatting sqref="T7">
    <cfRule type="expression" dxfId="150" priority="17587" stopIfTrue="1">
      <formula>AND(T7&lt;&gt;"", T7 - A2 &lt;= 14, T7 - A2 &gt; 7)</formula>
    </cfRule>
  </conditionalFormatting>
  <conditionalFormatting sqref="T7">
    <cfRule type="expression" dxfId="149" priority="17588" stopIfTrue="1">
      <formula>AND(T7&lt;&gt;"", T7 - A2 &lt;= 7, T7 - A2 &gt; 2)</formula>
    </cfRule>
  </conditionalFormatting>
  <conditionalFormatting sqref="T7">
    <cfRule type="expression" dxfId="148" priority="17589" stopIfTrue="1">
      <formula>AND(T7&lt;&gt;"", T7 - A2 &lt;= 2)</formula>
    </cfRule>
  </conditionalFormatting>
  <conditionalFormatting sqref="U7">
    <cfRule type="expression" dxfId="147" priority="17590" stopIfTrue="1">
      <formula>AND(U7&lt;&gt;"", U7 - A2 &gt; 14)</formula>
    </cfRule>
  </conditionalFormatting>
  <conditionalFormatting sqref="U7">
    <cfRule type="expression" dxfId="146" priority="17591" stopIfTrue="1">
      <formula>AND(U7&lt;&gt;"", U7 - A2 &lt;= 14, U7 - A2 &gt; 7)</formula>
    </cfRule>
  </conditionalFormatting>
  <conditionalFormatting sqref="U7">
    <cfRule type="expression" dxfId="145" priority="17592" stopIfTrue="1">
      <formula>AND(U7&lt;&gt;"", U7 - A2 &lt;= 7, U7 - A2 &gt; 2)</formula>
    </cfRule>
  </conditionalFormatting>
  <conditionalFormatting sqref="U7">
    <cfRule type="expression" dxfId="144" priority="17593" stopIfTrue="1">
      <formula>AND(U7&lt;&gt;"", U7 - A2 &lt;= 2)</formula>
    </cfRule>
  </conditionalFormatting>
  <conditionalFormatting sqref="J8">
    <cfRule type="expression" dxfId="143" priority="17594" stopIfTrue="1">
      <formula>AND(J8&lt;&gt;"", J8 - A2 &gt; 14)</formula>
    </cfRule>
  </conditionalFormatting>
  <conditionalFormatting sqref="J8">
    <cfRule type="expression" dxfId="142" priority="17595" stopIfTrue="1">
      <formula>AND(J8&lt;&gt;"", J8 - A2 &lt;= 14, J8 - A2 &gt; 7)</formula>
    </cfRule>
  </conditionalFormatting>
  <conditionalFormatting sqref="J8">
    <cfRule type="expression" dxfId="141" priority="17596" stopIfTrue="1">
      <formula>AND(J8&lt;&gt;"", J8 - A2 &lt;= 7, J8 - A2 &gt; 2)</formula>
    </cfRule>
  </conditionalFormatting>
  <conditionalFormatting sqref="J8">
    <cfRule type="expression" dxfId="140" priority="17597" stopIfTrue="1">
      <formula>AND(J8&lt;&gt;"", J8 - A2 &lt;= 2)</formula>
    </cfRule>
  </conditionalFormatting>
  <conditionalFormatting sqref="K8">
    <cfRule type="expression" dxfId="139" priority="17598" stopIfTrue="1">
      <formula>AND(K8&lt;&gt;"", K8 - A2 &gt; 14)</formula>
    </cfRule>
  </conditionalFormatting>
  <conditionalFormatting sqref="K8">
    <cfRule type="expression" dxfId="138" priority="17599" stopIfTrue="1">
      <formula>AND(K8&lt;&gt;"", K8 - A2 &lt;= 14, K8 - A2 &gt; 7)</formula>
    </cfRule>
  </conditionalFormatting>
  <conditionalFormatting sqref="K8">
    <cfRule type="expression" dxfId="137" priority="17600" stopIfTrue="1">
      <formula>AND(K8&lt;&gt;"", K8 - A2 &lt;= 7, K8 - A2 &gt; 2)</formula>
    </cfRule>
  </conditionalFormatting>
  <conditionalFormatting sqref="K8">
    <cfRule type="expression" dxfId="136" priority="17601" stopIfTrue="1">
      <formula>AND(K8&lt;&gt;"", K8 - A2 &lt;= 2)</formula>
    </cfRule>
  </conditionalFormatting>
  <conditionalFormatting sqref="L8">
    <cfRule type="expression" dxfId="135" priority="17602" stopIfTrue="1">
      <formula>AND(L8&lt;&gt;"", L8 - A2 &gt; 14)</formula>
    </cfRule>
  </conditionalFormatting>
  <conditionalFormatting sqref="L8">
    <cfRule type="expression" dxfId="134" priority="17603" stopIfTrue="1">
      <formula>AND(L8&lt;&gt;"", L8 - A2 &lt;= 14, L8 - A2 &gt; 7)</formula>
    </cfRule>
  </conditionalFormatting>
  <conditionalFormatting sqref="L8">
    <cfRule type="expression" dxfId="133" priority="17604" stopIfTrue="1">
      <formula>AND(L8&lt;&gt;"", L8 - A2 &lt;= 7, L8 - A2 &gt; 2)</formula>
    </cfRule>
  </conditionalFormatting>
  <conditionalFormatting sqref="L8">
    <cfRule type="expression" dxfId="132" priority="17605" stopIfTrue="1">
      <formula>AND(L8&lt;&gt;"", L8 - A2 &lt;= 2)</formula>
    </cfRule>
  </conditionalFormatting>
  <conditionalFormatting sqref="M8">
    <cfRule type="expression" dxfId="131" priority="17606" stopIfTrue="1">
      <formula>AND(M8&lt;&gt;"", M8 - A2 &gt; 14)</formula>
    </cfRule>
  </conditionalFormatting>
  <conditionalFormatting sqref="M8">
    <cfRule type="expression" dxfId="130" priority="17607" stopIfTrue="1">
      <formula>AND(M8&lt;&gt;"", M8 - A2 &lt;= 14, M8 - A2 &gt; 7)</formula>
    </cfRule>
  </conditionalFormatting>
  <conditionalFormatting sqref="M8">
    <cfRule type="expression" dxfId="129" priority="17608" stopIfTrue="1">
      <formula>AND(M8&lt;&gt;"", M8 - A2 &lt;= 7, M8 - A2 &gt; 2)</formula>
    </cfRule>
  </conditionalFormatting>
  <conditionalFormatting sqref="M8">
    <cfRule type="expression" dxfId="128" priority="17609" stopIfTrue="1">
      <formula>AND(M8&lt;&gt;"", M8 - A2 &lt;= 2)</formula>
    </cfRule>
  </conditionalFormatting>
  <conditionalFormatting sqref="N8">
    <cfRule type="expression" dxfId="127" priority="17610" stopIfTrue="1">
      <formula>AND(N8&lt;&gt;"", N8 - A2 &gt; 14)</formula>
    </cfRule>
  </conditionalFormatting>
  <conditionalFormatting sqref="N8">
    <cfRule type="expression" dxfId="126" priority="17611" stopIfTrue="1">
      <formula>AND(N8&lt;&gt;"", N8 - A2 &lt;= 14, N8 - A2 &gt; 7)</formula>
    </cfRule>
  </conditionalFormatting>
  <conditionalFormatting sqref="N8">
    <cfRule type="expression" dxfId="125" priority="17612" stopIfTrue="1">
      <formula>AND(N8&lt;&gt;"", N8 - A2 &lt;= 7, N8 - A2 &gt; 2)</formula>
    </cfRule>
  </conditionalFormatting>
  <conditionalFormatting sqref="N8">
    <cfRule type="expression" dxfId="124" priority="17613" stopIfTrue="1">
      <formula>AND(N8&lt;&gt;"", N8 - A2 &lt;= 2)</formula>
    </cfRule>
  </conditionalFormatting>
  <conditionalFormatting sqref="O8">
    <cfRule type="expression" dxfId="123" priority="17614" stopIfTrue="1">
      <formula>AND(O8&lt;&gt;"", O8 - A2 &gt; 14)</formula>
    </cfRule>
  </conditionalFormatting>
  <conditionalFormatting sqref="O8">
    <cfRule type="expression" dxfId="122" priority="17615" stopIfTrue="1">
      <formula>AND(O8&lt;&gt;"", O8 - A2 &lt;= 14, O8 - A2 &gt; 7)</formula>
    </cfRule>
  </conditionalFormatting>
  <conditionalFormatting sqref="O8">
    <cfRule type="expression" dxfId="121" priority="17616" stopIfTrue="1">
      <formula>AND(O8&lt;&gt;"", O8 - A2 &lt;= 7, O8 - A2 &gt; 2)</formula>
    </cfRule>
  </conditionalFormatting>
  <conditionalFormatting sqref="O8">
    <cfRule type="expression" dxfId="120" priority="17617" stopIfTrue="1">
      <formula>AND(O8&lt;&gt;"", O8 - A2 &lt;= 2)</formula>
    </cfRule>
  </conditionalFormatting>
  <conditionalFormatting sqref="P8">
    <cfRule type="expression" dxfId="119" priority="17618" stopIfTrue="1">
      <formula>AND(P8&lt;&gt;"", P8 - A2 &gt; 14)</formula>
    </cfRule>
  </conditionalFormatting>
  <conditionalFormatting sqref="P8">
    <cfRule type="expression" dxfId="118" priority="17619" stopIfTrue="1">
      <formula>AND(P8&lt;&gt;"", P8 - A2 &lt;= 14, P8 - A2 &gt; 7)</formula>
    </cfRule>
  </conditionalFormatting>
  <conditionalFormatting sqref="P8">
    <cfRule type="expression" dxfId="117" priority="17620" stopIfTrue="1">
      <formula>AND(P8&lt;&gt;"", P8 - A2 &lt;= 7, P8 - A2 &gt; 2)</formula>
    </cfRule>
  </conditionalFormatting>
  <conditionalFormatting sqref="P8">
    <cfRule type="expression" dxfId="116" priority="17621" stopIfTrue="1">
      <formula>AND(P8&lt;&gt;"", P8 - A2 &lt;= 2)</formula>
    </cfRule>
  </conditionalFormatting>
  <conditionalFormatting sqref="Q8">
    <cfRule type="expression" dxfId="115" priority="17622" stopIfTrue="1">
      <formula>AND(Q8&lt;&gt;"", Q8 - A2 &gt; 14)</formula>
    </cfRule>
  </conditionalFormatting>
  <conditionalFormatting sqref="Q8">
    <cfRule type="expression" dxfId="114" priority="17623" stopIfTrue="1">
      <formula>AND(Q8&lt;&gt;"", Q8 - A2 &lt;= 14, Q8 - A2 &gt; 7)</formula>
    </cfRule>
  </conditionalFormatting>
  <conditionalFormatting sqref="Q8">
    <cfRule type="expression" dxfId="113" priority="17624" stopIfTrue="1">
      <formula>AND(Q8&lt;&gt;"", Q8 - A2 &lt;= 7, Q8 - A2 &gt; 2)</formula>
    </cfRule>
  </conditionalFormatting>
  <conditionalFormatting sqref="Q8">
    <cfRule type="expression" dxfId="112" priority="17625" stopIfTrue="1">
      <formula>AND(Q8&lt;&gt;"", Q8 - A2 &lt;= 2)</formula>
    </cfRule>
  </conditionalFormatting>
  <conditionalFormatting sqref="R8">
    <cfRule type="expression" dxfId="111" priority="17626" stopIfTrue="1">
      <formula>AND(R8&lt;&gt;"", R8 - A2 &gt; 14)</formula>
    </cfRule>
  </conditionalFormatting>
  <conditionalFormatting sqref="R8">
    <cfRule type="expression" dxfId="110" priority="17627" stopIfTrue="1">
      <formula>AND(R8&lt;&gt;"", R8 - A2 &lt;= 14, R8 - A2 &gt; 7)</formula>
    </cfRule>
  </conditionalFormatting>
  <conditionalFormatting sqref="R8">
    <cfRule type="expression" dxfId="109" priority="17628" stopIfTrue="1">
      <formula>AND(R8&lt;&gt;"", R8 - A2 &lt;= 7, R8 - A2 &gt; 2)</formula>
    </cfRule>
  </conditionalFormatting>
  <conditionalFormatting sqref="R8">
    <cfRule type="expression" dxfId="108" priority="17629" stopIfTrue="1">
      <formula>AND(R8&lt;&gt;"", R8 - A2 &lt;= 2)</formula>
    </cfRule>
  </conditionalFormatting>
  <conditionalFormatting sqref="S8">
    <cfRule type="expression" dxfId="107" priority="17630" stopIfTrue="1">
      <formula>AND(S8&lt;&gt;"", S8 - A2 &gt; 14)</formula>
    </cfRule>
  </conditionalFormatting>
  <conditionalFormatting sqref="S8">
    <cfRule type="expression" dxfId="106" priority="17631" stopIfTrue="1">
      <formula>AND(S8&lt;&gt;"", S8 - A2 &lt;= 14, S8 - A2 &gt; 7)</formula>
    </cfRule>
  </conditionalFormatting>
  <conditionalFormatting sqref="S8">
    <cfRule type="expression" dxfId="105" priority="17632" stopIfTrue="1">
      <formula>AND(S8&lt;&gt;"", S8 - A2 &lt;= 7, S8 - A2 &gt; 2)</formula>
    </cfRule>
  </conditionalFormatting>
  <conditionalFormatting sqref="S8">
    <cfRule type="expression" dxfId="104" priority="17633" stopIfTrue="1">
      <formula>AND(S8&lt;&gt;"", S8 - A2 &lt;= 2)</formula>
    </cfRule>
  </conditionalFormatting>
  <conditionalFormatting sqref="T8">
    <cfRule type="expression" dxfId="103" priority="17634" stopIfTrue="1">
      <formula>AND(T8&lt;&gt;"", T8 - A2 &gt; 14)</formula>
    </cfRule>
  </conditionalFormatting>
  <conditionalFormatting sqref="T8">
    <cfRule type="expression" dxfId="102" priority="17635" stopIfTrue="1">
      <formula>AND(T8&lt;&gt;"", T8 - A2 &lt;= 14, T8 - A2 &gt; 7)</formula>
    </cfRule>
  </conditionalFormatting>
  <conditionalFormatting sqref="T8">
    <cfRule type="expression" dxfId="101" priority="17636" stopIfTrue="1">
      <formula>AND(T8&lt;&gt;"", T8 - A2 &lt;= 7, T8 - A2 &gt; 2)</formula>
    </cfRule>
  </conditionalFormatting>
  <conditionalFormatting sqref="T8">
    <cfRule type="expression" dxfId="100" priority="17637" stopIfTrue="1">
      <formula>AND(T8&lt;&gt;"", T8 - A2 &lt;= 2)</formula>
    </cfRule>
  </conditionalFormatting>
  <conditionalFormatting sqref="U8">
    <cfRule type="expression" dxfId="99" priority="17638" stopIfTrue="1">
      <formula>AND(U8&lt;&gt;"", U8 - A2 &gt; 14)</formula>
    </cfRule>
  </conditionalFormatting>
  <conditionalFormatting sqref="U8">
    <cfRule type="expression" dxfId="98" priority="17639" stopIfTrue="1">
      <formula>AND(U8&lt;&gt;"", U8 - A2 &lt;= 14, U8 - A2 &gt; 7)</formula>
    </cfRule>
  </conditionalFormatting>
  <conditionalFormatting sqref="U8">
    <cfRule type="expression" dxfId="97" priority="17640" stopIfTrue="1">
      <formula>AND(U8&lt;&gt;"", U8 - A2 &lt;= 7, U8 - A2 &gt; 2)</formula>
    </cfRule>
  </conditionalFormatting>
  <conditionalFormatting sqref="U8">
    <cfRule type="expression" dxfId="96" priority="17641" stopIfTrue="1">
      <formula>AND(U8&lt;&gt;"", U8 - A2 &lt;= 2)</formula>
    </cfRule>
  </conditionalFormatting>
  <conditionalFormatting sqref="J9">
    <cfRule type="expression" dxfId="95" priority="17642" stopIfTrue="1">
      <formula>AND(J9&lt;&gt;"", J9 - A2 &gt; 14)</formula>
    </cfRule>
  </conditionalFormatting>
  <conditionalFormatting sqref="J9">
    <cfRule type="expression" dxfId="94" priority="17643" stopIfTrue="1">
      <formula>AND(J9&lt;&gt;"", J9 - A2 &lt;= 14, J9 - A2 &gt; 7)</formula>
    </cfRule>
  </conditionalFormatting>
  <conditionalFormatting sqref="J9">
    <cfRule type="expression" dxfId="93" priority="17644" stopIfTrue="1">
      <formula>AND(J9&lt;&gt;"", J9 - A2 &lt;= 7, J9 - A2 &gt; 2)</formula>
    </cfRule>
  </conditionalFormatting>
  <conditionalFormatting sqref="J9">
    <cfRule type="expression" dxfId="92" priority="17645" stopIfTrue="1">
      <formula>AND(J9&lt;&gt;"", J9 - A2 &lt;= 2)</formula>
    </cfRule>
  </conditionalFormatting>
  <conditionalFormatting sqref="K9">
    <cfRule type="expression" dxfId="91" priority="17646" stopIfTrue="1">
      <formula>AND(K9&lt;&gt;"", K9 - A2 &gt; 14)</formula>
    </cfRule>
  </conditionalFormatting>
  <conditionalFormatting sqref="K9">
    <cfRule type="expression" dxfId="90" priority="17647" stopIfTrue="1">
      <formula>AND(K9&lt;&gt;"", K9 - A2 &lt;= 14, K9 - A2 &gt; 7)</formula>
    </cfRule>
  </conditionalFormatting>
  <conditionalFormatting sqref="K9">
    <cfRule type="expression" dxfId="89" priority="17648" stopIfTrue="1">
      <formula>AND(K9&lt;&gt;"", K9 - A2 &lt;= 7, K9 - A2 &gt; 2)</formula>
    </cfRule>
  </conditionalFormatting>
  <conditionalFormatting sqref="K9">
    <cfRule type="expression" dxfId="88" priority="17649" stopIfTrue="1">
      <formula>AND(K9&lt;&gt;"", K9 - A2 &lt;= 2)</formula>
    </cfRule>
  </conditionalFormatting>
  <conditionalFormatting sqref="L9">
    <cfRule type="expression" dxfId="87" priority="17650" stopIfTrue="1">
      <formula>AND(L9&lt;&gt;"", L9 - A2 &gt; 14)</formula>
    </cfRule>
  </conditionalFormatting>
  <conditionalFormatting sqref="L9">
    <cfRule type="expression" dxfId="86" priority="17651" stopIfTrue="1">
      <formula>AND(L9&lt;&gt;"", L9 - A2 &lt;= 14, L9 - A2 &gt; 7)</formula>
    </cfRule>
  </conditionalFormatting>
  <conditionalFormatting sqref="L9">
    <cfRule type="expression" dxfId="85" priority="17652" stopIfTrue="1">
      <formula>AND(L9&lt;&gt;"", L9 - A2 &lt;= 7, L9 - A2 &gt; 2)</formula>
    </cfRule>
  </conditionalFormatting>
  <conditionalFormatting sqref="L9">
    <cfRule type="expression" dxfId="84" priority="17653" stopIfTrue="1">
      <formula>AND(L9&lt;&gt;"", L9 - A2 &lt;= 2)</formula>
    </cfRule>
  </conditionalFormatting>
  <conditionalFormatting sqref="M9">
    <cfRule type="expression" dxfId="83" priority="17654" stopIfTrue="1">
      <formula>AND(M9&lt;&gt;"", M9 - A2 &gt; 14)</formula>
    </cfRule>
  </conditionalFormatting>
  <conditionalFormatting sqref="M9">
    <cfRule type="expression" dxfId="82" priority="17655" stopIfTrue="1">
      <formula>AND(M9&lt;&gt;"", M9 - A2 &lt;= 14, M9 - A2 &gt; 7)</formula>
    </cfRule>
  </conditionalFormatting>
  <conditionalFormatting sqref="M9">
    <cfRule type="expression" dxfId="81" priority="17656" stopIfTrue="1">
      <formula>AND(M9&lt;&gt;"", M9 - A2 &lt;= 7, M9 - A2 &gt; 2)</formula>
    </cfRule>
  </conditionalFormatting>
  <conditionalFormatting sqref="M9">
    <cfRule type="expression" dxfId="80" priority="17657" stopIfTrue="1">
      <formula>AND(M9&lt;&gt;"", M9 - A2 &lt;= 2)</formula>
    </cfRule>
  </conditionalFormatting>
  <conditionalFormatting sqref="N9">
    <cfRule type="expression" dxfId="79" priority="17658" stopIfTrue="1">
      <formula>AND(N9&lt;&gt;"", N9 - A2 &gt; 14)</formula>
    </cfRule>
  </conditionalFormatting>
  <conditionalFormatting sqref="N9">
    <cfRule type="expression" dxfId="78" priority="17659" stopIfTrue="1">
      <formula>AND(N9&lt;&gt;"", N9 - A2 &lt;= 14, N9 - A2 &gt; 7)</formula>
    </cfRule>
  </conditionalFormatting>
  <conditionalFormatting sqref="N9">
    <cfRule type="expression" dxfId="77" priority="17660" stopIfTrue="1">
      <formula>AND(N9&lt;&gt;"", N9 - A2 &lt;= 7, N9 - A2 &gt; 2)</formula>
    </cfRule>
  </conditionalFormatting>
  <conditionalFormatting sqref="N9">
    <cfRule type="expression" dxfId="76" priority="17661" stopIfTrue="1">
      <formula>AND(N9&lt;&gt;"", N9 - A2 &lt;= 2)</formula>
    </cfRule>
  </conditionalFormatting>
  <conditionalFormatting sqref="O9">
    <cfRule type="expression" dxfId="75" priority="17662" stopIfTrue="1">
      <formula>AND(O9&lt;&gt;"", O9 - A2 &gt; 14)</formula>
    </cfRule>
  </conditionalFormatting>
  <conditionalFormatting sqref="O9">
    <cfRule type="expression" dxfId="74" priority="17663" stopIfTrue="1">
      <formula>AND(O9&lt;&gt;"", O9 - A2 &lt;= 14, O9 - A2 &gt; 7)</formula>
    </cfRule>
  </conditionalFormatting>
  <conditionalFormatting sqref="O9">
    <cfRule type="expression" dxfId="73" priority="17664" stopIfTrue="1">
      <formula>AND(O9&lt;&gt;"", O9 - A2 &lt;= 7, O9 - A2 &gt; 2)</formula>
    </cfRule>
  </conditionalFormatting>
  <conditionalFormatting sqref="O9">
    <cfRule type="expression" dxfId="72" priority="17665" stopIfTrue="1">
      <formula>AND(O9&lt;&gt;"", O9 - A2 &lt;= 2)</formula>
    </cfRule>
  </conditionalFormatting>
  <conditionalFormatting sqref="P9">
    <cfRule type="expression" dxfId="71" priority="17666" stopIfTrue="1">
      <formula>AND(P9&lt;&gt;"", P9 - A2 &gt; 14)</formula>
    </cfRule>
  </conditionalFormatting>
  <conditionalFormatting sqref="P9">
    <cfRule type="expression" dxfId="70" priority="17667" stopIfTrue="1">
      <formula>AND(P9&lt;&gt;"", P9 - A2 &lt;= 14, P9 - A2 &gt; 7)</formula>
    </cfRule>
  </conditionalFormatting>
  <conditionalFormatting sqref="P9">
    <cfRule type="expression" dxfId="69" priority="17668" stopIfTrue="1">
      <formula>AND(P9&lt;&gt;"", P9 - A2 &lt;= 7, P9 - A2 &gt; 2)</formula>
    </cfRule>
  </conditionalFormatting>
  <conditionalFormatting sqref="P9">
    <cfRule type="expression" dxfId="68" priority="17669" stopIfTrue="1">
      <formula>AND(P9&lt;&gt;"", P9 - A2 &lt;= 2)</formula>
    </cfRule>
  </conditionalFormatting>
  <conditionalFormatting sqref="Q9">
    <cfRule type="expression" dxfId="67" priority="17670" stopIfTrue="1">
      <formula>AND(Q9&lt;&gt;"", Q9 - A2 &gt; 14)</formula>
    </cfRule>
  </conditionalFormatting>
  <conditionalFormatting sqref="Q9">
    <cfRule type="expression" dxfId="66" priority="17671" stopIfTrue="1">
      <formula>AND(Q9&lt;&gt;"", Q9 - A2 &lt;= 14, Q9 - A2 &gt; 7)</formula>
    </cfRule>
  </conditionalFormatting>
  <conditionalFormatting sqref="Q9">
    <cfRule type="expression" dxfId="65" priority="17672" stopIfTrue="1">
      <formula>AND(Q9&lt;&gt;"", Q9 - A2 &lt;= 7, Q9 - A2 &gt; 2)</formula>
    </cfRule>
  </conditionalFormatting>
  <conditionalFormatting sqref="Q9">
    <cfRule type="expression" dxfId="64" priority="17673" stopIfTrue="1">
      <formula>AND(Q9&lt;&gt;"", Q9 - A2 &lt;= 2)</formula>
    </cfRule>
  </conditionalFormatting>
  <conditionalFormatting sqref="R9">
    <cfRule type="expression" dxfId="63" priority="17674" stopIfTrue="1">
      <formula>AND(R9&lt;&gt;"", R9 - A2 &gt; 14)</formula>
    </cfRule>
  </conditionalFormatting>
  <conditionalFormatting sqref="R9">
    <cfRule type="expression" dxfId="62" priority="17675" stopIfTrue="1">
      <formula>AND(R9&lt;&gt;"", R9 - A2 &lt;= 14, R9 - A2 &gt; 7)</formula>
    </cfRule>
  </conditionalFormatting>
  <conditionalFormatting sqref="R9">
    <cfRule type="expression" dxfId="61" priority="17676" stopIfTrue="1">
      <formula>AND(R9&lt;&gt;"", R9 - A2 &lt;= 7, R9 - A2 &gt; 2)</formula>
    </cfRule>
  </conditionalFormatting>
  <conditionalFormatting sqref="R9">
    <cfRule type="expression" dxfId="60" priority="17677" stopIfTrue="1">
      <formula>AND(R9&lt;&gt;"", R9 - A2 &lt;= 2)</formula>
    </cfRule>
  </conditionalFormatting>
  <conditionalFormatting sqref="S9">
    <cfRule type="expression" dxfId="59" priority="17678" stopIfTrue="1">
      <formula>AND(S9&lt;&gt;"", S9 - A2 &gt; 14)</formula>
    </cfRule>
  </conditionalFormatting>
  <conditionalFormatting sqref="S9">
    <cfRule type="expression" dxfId="58" priority="17679" stopIfTrue="1">
      <formula>AND(S9&lt;&gt;"", S9 - A2 &lt;= 14, S9 - A2 &gt; 7)</formula>
    </cfRule>
  </conditionalFormatting>
  <conditionalFormatting sqref="S9">
    <cfRule type="expression" dxfId="57" priority="17680" stopIfTrue="1">
      <formula>AND(S9&lt;&gt;"", S9 - A2 &lt;= 7, S9 - A2 &gt; 2)</formula>
    </cfRule>
  </conditionalFormatting>
  <conditionalFormatting sqref="S9">
    <cfRule type="expression" dxfId="56" priority="17681" stopIfTrue="1">
      <formula>AND(S9&lt;&gt;"", S9 - A2 &lt;= 2)</formula>
    </cfRule>
  </conditionalFormatting>
  <conditionalFormatting sqref="T9">
    <cfRule type="expression" dxfId="55" priority="17682" stopIfTrue="1">
      <formula>AND(T9&lt;&gt;"", T9 - A2 &gt; 14)</formula>
    </cfRule>
  </conditionalFormatting>
  <conditionalFormatting sqref="T9">
    <cfRule type="expression" dxfId="54" priority="17683" stopIfTrue="1">
      <formula>AND(T9&lt;&gt;"", T9 - A2 &lt;= 14, T9 - A2 &gt; 7)</formula>
    </cfRule>
  </conditionalFormatting>
  <conditionalFormatting sqref="T9">
    <cfRule type="expression" dxfId="53" priority="17684" stopIfTrue="1">
      <formula>AND(T9&lt;&gt;"", T9 - A2 &lt;= 7, T9 - A2 &gt; 2)</formula>
    </cfRule>
  </conditionalFormatting>
  <conditionalFormatting sqref="T9">
    <cfRule type="expression" dxfId="52" priority="17685" stopIfTrue="1">
      <formula>AND(T9&lt;&gt;"", T9 - A2 &lt;= 2)</formula>
    </cfRule>
  </conditionalFormatting>
  <conditionalFormatting sqref="U9">
    <cfRule type="expression" dxfId="51" priority="17686" stopIfTrue="1">
      <formula>AND(U9&lt;&gt;"", U9 - A2 &gt; 14)</formula>
    </cfRule>
  </conditionalFormatting>
  <conditionalFormatting sqref="U9">
    <cfRule type="expression" dxfId="50" priority="17687" stopIfTrue="1">
      <formula>AND(U9&lt;&gt;"", U9 - A2 &lt;= 14, U9 - A2 &gt; 7)</formula>
    </cfRule>
  </conditionalFormatting>
  <conditionalFormatting sqref="U9">
    <cfRule type="expression" dxfId="49" priority="17688" stopIfTrue="1">
      <formula>AND(U9&lt;&gt;"", U9 - A2 &lt;= 7, U9 - A2 &gt; 2)</formula>
    </cfRule>
  </conditionalFormatting>
  <conditionalFormatting sqref="U9">
    <cfRule type="expression" dxfId="48" priority="17689" stopIfTrue="1">
      <formula>AND(U9&lt;&gt;"", U9 - A2 &lt;= 2)</formula>
    </cfRule>
  </conditionalFormatting>
  <conditionalFormatting sqref="J10">
    <cfRule type="expression" dxfId="47" priority="17690" stopIfTrue="1">
      <formula>AND(J10&lt;&gt;"", J10 - A2 &gt; 14)</formula>
    </cfRule>
  </conditionalFormatting>
  <conditionalFormatting sqref="J10">
    <cfRule type="expression" dxfId="46" priority="17691" stopIfTrue="1">
      <formula>AND(J10&lt;&gt;"", J10 - A2 &lt;= 14, J10 - A2 &gt; 7)</formula>
    </cfRule>
  </conditionalFormatting>
  <conditionalFormatting sqref="J10">
    <cfRule type="expression" dxfId="45" priority="17692" stopIfTrue="1">
      <formula>AND(J10&lt;&gt;"", J10 - A2 &lt;= 7, J10 - A2 &gt; 2)</formula>
    </cfRule>
  </conditionalFormatting>
  <conditionalFormatting sqref="J10">
    <cfRule type="expression" dxfId="44" priority="17693" stopIfTrue="1">
      <formula>AND(J10&lt;&gt;"", J10 - A2 &lt;= 2)</formula>
    </cfRule>
  </conditionalFormatting>
  <conditionalFormatting sqref="K10">
    <cfRule type="expression" dxfId="43" priority="17694" stopIfTrue="1">
      <formula>AND(K10&lt;&gt;"", K10 - A2 &gt; 14)</formula>
    </cfRule>
  </conditionalFormatting>
  <conditionalFormatting sqref="K10">
    <cfRule type="expression" dxfId="42" priority="17695" stopIfTrue="1">
      <formula>AND(K10&lt;&gt;"", K10 - A2 &lt;= 14, K10 - A2 &gt; 7)</formula>
    </cfRule>
  </conditionalFormatting>
  <conditionalFormatting sqref="K10">
    <cfRule type="expression" dxfId="41" priority="17696" stopIfTrue="1">
      <formula>AND(K10&lt;&gt;"", K10 - A2 &lt;= 7, K10 - A2 &gt; 2)</formula>
    </cfRule>
  </conditionalFormatting>
  <conditionalFormatting sqref="K10">
    <cfRule type="expression" dxfId="40" priority="17697" stopIfTrue="1">
      <formula>AND(K10&lt;&gt;"", K10 - A2 &lt;= 2)</formula>
    </cfRule>
  </conditionalFormatting>
  <conditionalFormatting sqref="L10">
    <cfRule type="expression" dxfId="39" priority="17698" stopIfTrue="1">
      <formula>AND(L10&lt;&gt;"", L10 - A2 &gt; 14)</formula>
    </cfRule>
  </conditionalFormatting>
  <conditionalFormatting sqref="L10">
    <cfRule type="expression" dxfId="38" priority="17699" stopIfTrue="1">
      <formula>AND(L10&lt;&gt;"", L10 - A2 &lt;= 14, L10 - A2 &gt; 7)</formula>
    </cfRule>
  </conditionalFormatting>
  <conditionalFormatting sqref="L10">
    <cfRule type="expression" dxfId="37" priority="17700" stopIfTrue="1">
      <formula>AND(L10&lt;&gt;"", L10 - A2 &lt;= 7, L10 - A2 &gt; 2)</formula>
    </cfRule>
  </conditionalFormatting>
  <conditionalFormatting sqref="L10">
    <cfRule type="expression" dxfId="36" priority="17701" stopIfTrue="1">
      <formula>AND(L10&lt;&gt;"", L10 - A2 &lt;= 2)</formula>
    </cfRule>
  </conditionalFormatting>
  <conditionalFormatting sqref="M10">
    <cfRule type="expression" dxfId="35" priority="17702" stopIfTrue="1">
      <formula>AND(M10&lt;&gt;"", M10 - A2 &gt; 14)</formula>
    </cfRule>
  </conditionalFormatting>
  <conditionalFormatting sqref="M10">
    <cfRule type="expression" dxfId="34" priority="17703" stopIfTrue="1">
      <formula>AND(M10&lt;&gt;"", M10 - A2 &lt;= 14, M10 - A2 &gt; 7)</formula>
    </cfRule>
  </conditionalFormatting>
  <conditionalFormatting sqref="M10">
    <cfRule type="expression" dxfId="33" priority="17704" stopIfTrue="1">
      <formula>AND(M10&lt;&gt;"", M10 - A2 &lt;= 7, M10 - A2 &gt; 2)</formula>
    </cfRule>
  </conditionalFormatting>
  <conditionalFormatting sqref="M10">
    <cfRule type="expression" dxfId="32" priority="17705" stopIfTrue="1">
      <formula>AND(M10&lt;&gt;"", M10 - A2 &lt;= 2)</formula>
    </cfRule>
  </conditionalFormatting>
  <conditionalFormatting sqref="N10">
    <cfRule type="expression" dxfId="31" priority="17706" stopIfTrue="1">
      <formula>AND(N10&lt;&gt;"", N10 - A2 &gt; 14)</formula>
    </cfRule>
  </conditionalFormatting>
  <conditionalFormatting sqref="N10">
    <cfRule type="expression" dxfId="30" priority="17707" stopIfTrue="1">
      <formula>AND(N10&lt;&gt;"", N10 - A2 &lt;= 14, N10 - A2 &gt; 7)</formula>
    </cfRule>
  </conditionalFormatting>
  <conditionalFormatting sqref="N10">
    <cfRule type="expression" dxfId="29" priority="17708" stopIfTrue="1">
      <formula>AND(N10&lt;&gt;"", N10 - A2 &lt;= 7, N10 - A2 &gt; 2)</formula>
    </cfRule>
  </conditionalFormatting>
  <conditionalFormatting sqref="N10">
    <cfRule type="expression" dxfId="28" priority="17709" stopIfTrue="1">
      <formula>AND(N10&lt;&gt;"", N10 - A2 &lt;= 2)</formula>
    </cfRule>
  </conditionalFormatting>
  <conditionalFormatting sqref="O10">
    <cfRule type="expression" dxfId="27" priority="17710" stopIfTrue="1">
      <formula>AND(O10&lt;&gt;"", O10 - A2 &gt; 14)</formula>
    </cfRule>
  </conditionalFormatting>
  <conditionalFormatting sqref="O10">
    <cfRule type="expression" dxfId="26" priority="17711" stopIfTrue="1">
      <formula>AND(O10&lt;&gt;"", O10 - A2 &lt;= 14, O10 - A2 &gt; 7)</formula>
    </cfRule>
  </conditionalFormatting>
  <conditionalFormatting sqref="O10">
    <cfRule type="expression" dxfId="25" priority="17712" stopIfTrue="1">
      <formula>AND(O10&lt;&gt;"", O10 - A2 &lt;= 7, O10 - A2 &gt; 2)</formula>
    </cfRule>
  </conditionalFormatting>
  <conditionalFormatting sqref="O10">
    <cfRule type="expression" dxfId="24" priority="17713" stopIfTrue="1">
      <formula>AND(O10&lt;&gt;"", O10 - A2 &lt;= 2)</formula>
    </cfRule>
  </conditionalFormatting>
  <conditionalFormatting sqref="P10">
    <cfRule type="expression" dxfId="23" priority="17714" stopIfTrue="1">
      <formula>AND(P10&lt;&gt;"", P10 - A2 &gt; 14)</formula>
    </cfRule>
  </conditionalFormatting>
  <conditionalFormatting sqref="P10">
    <cfRule type="expression" dxfId="22" priority="17715" stopIfTrue="1">
      <formula>AND(P10&lt;&gt;"", P10 - A2 &lt;= 14, P10 - A2 &gt; 7)</formula>
    </cfRule>
  </conditionalFormatting>
  <conditionalFormatting sqref="P10">
    <cfRule type="expression" dxfId="21" priority="17716" stopIfTrue="1">
      <formula>AND(P10&lt;&gt;"", P10 - A2 &lt;= 7, P10 - A2 &gt; 2)</formula>
    </cfRule>
  </conditionalFormatting>
  <conditionalFormatting sqref="P10">
    <cfRule type="expression" dxfId="20" priority="17717" stopIfTrue="1">
      <formula>AND(P10&lt;&gt;"", P10 - A2 &lt;= 2)</formula>
    </cfRule>
  </conditionalFormatting>
  <conditionalFormatting sqref="Q10">
    <cfRule type="expression" dxfId="19" priority="17718" stopIfTrue="1">
      <formula>AND(Q10&lt;&gt;"", Q10 - A2 &gt; 14)</formula>
    </cfRule>
  </conditionalFormatting>
  <conditionalFormatting sqref="Q10">
    <cfRule type="expression" dxfId="18" priority="17719" stopIfTrue="1">
      <formula>AND(Q10&lt;&gt;"", Q10 - A2 &lt;= 14, Q10 - A2 &gt; 7)</formula>
    </cfRule>
  </conditionalFormatting>
  <conditionalFormatting sqref="Q10">
    <cfRule type="expression" dxfId="17" priority="17720" stopIfTrue="1">
      <formula>AND(Q10&lt;&gt;"", Q10 - A2 &lt;= 7, Q10 - A2 &gt; 2)</formula>
    </cfRule>
  </conditionalFormatting>
  <conditionalFormatting sqref="Q10">
    <cfRule type="expression" dxfId="16" priority="17721" stopIfTrue="1">
      <formula>AND(Q10&lt;&gt;"", Q10 - A2 &lt;= 2)</formula>
    </cfRule>
  </conditionalFormatting>
  <conditionalFormatting sqref="R10">
    <cfRule type="expression" dxfId="15" priority="17722" stopIfTrue="1">
      <formula>AND(R10&lt;&gt;"", R10 - A2 &gt; 14)</formula>
    </cfRule>
  </conditionalFormatting>
  <conditionalFormatting sqref="R10">
    <cfRule type="expression" dxfId="14" priority="17723" stopIfTrue="1">
      <formula>AND(R10&lt;&gt;"", R10 - A2 &lt;= 14, R10 - A2 &gt; 7)</formula>
    </cfRule>
  </conditionalFormatting>
  <conditionalFormatting sqref="R10">
    <cfRule type="expression" dxfId="13" priority="17724" stopIfTrue="1">
      <formula>AND(R10&lt;&gt;"", R10 - A2 &lt;= 7, R10 - A2 &gt; 2)</formula>
    </cfRule>
  </conditionalFormatting>
  <conditionalFormatting sqref="R10">
    <cfRule type="expression" dxfId="12" priority="17725" stopIfTrue="1">
      <formula>AND(R10&lt;&gt;"", R10 - A2 &lt;= 2)</formula>
    </cfRule>
  </conditionalFormatting>
  <conditionalFormatting sqref="S10">
    <cfRule type="expression" dxfId="11" priority="17726" stopIfTrue="1">
      <formula>AND(S10&lt;&gt;"", S10 - A2 &gt; 14)</formula>
    </cfRule>
  </conditionalFormatting>
  <conditionalFormatting sqref="S10">
    <cfRule type="expression" dxfId="10" priority="17727" stopIfTrue="1">
      <formula>AND(S10&lt;&gt;"", S10 - A2 &lt;= 14, S10 - A2 &gt; 7)</formula>
    </cfRule>
  </conditionalFormatting>
  <conditionalFormatting sqref="S10">
    <cfRule type="expression" dxfId="9" priority="17728" stopIfTrue="1">
      <formula>AND(S10&lt;&gt;"", S10 - A2 &lt;= 7, S10 - A2 &gt; 2)</formula>
    </cfRule>
  </conditionalFormatting>
  <conditionalFormatting sqref="S10">
    <cfRule type="expression" dxfId="8" priority="17729" stopIfTrue="1">
      <formula>AND(S10&lt;&gt;"", S10 - A2 &lt;= 2)</formula>
    </cfRule>
  </conditionalFormatting>
  <conditionalFormatting sqref="T10">
    <cfRule type="expression" dxfId="7" priority="17730" stopIfTrue="1">
      <formula>AND(T10&lt;&gt;"", T10 - A2 &gt; 14)</formula>
    </cfRule>
  </conditionalFormatting>
  <conditionalFormatting sqref="T10">
    <cfRule type="expression" dxfId="6" priority="17731" stopIfTrue="1">
      <formula>AND(T10&lt;&gt;"", T10 - A2 &lt;= 14, T10 - A2 &gt; 7)</formula>
    </cfRule>
  </conditionalFormatting>
  <conditionalFormatting sqref="T10">
    <cfRule type="expression" dxfId="5" priority="17732" stopIfTrue="1">
      <formula>AND(T10&lt;&gt;"", T10 - A2 &lt;= 7, T10 - A2 &gt; 2)</formula>
    </cfRule>
  </conditionalFormatting>
  <conditionalFormatting sqref="T10">
    <cfRule type="expression" dxfId="4" priority="17733" stopIfTrue="1">
      <formula>AND(T10&lt;&gt;"", T10 - A2 &lt;= 2)</formula>
    </cfRule>
  </conditionalFormatting>
  <conditionalFormatting sqref="U10">
    <cfRule type="expression" dxfId="3" priority="17734" stopIfTrue="1">
      <formula>AND(U10&lt;&gt;"", U10 - A2 &gt; 14)</formula>
    </cfRule>
  </conditionalFormatting>
  <conditionalFormatting sqref="U10">
    <cfRule type="expression" dxfId="2" priority="17735" stopIfTrue="1">
      <formula>AND(U10&lt;&gt;"", U10 - A2 &lt;= 14, U10 - A2 &gt; 7)</formula>
    </cfRule>
  </conditionalFormatting>
  <conditionalFormatting sqref="U10">
    <cfRule type="expression" dxfId="1" priority="17736" stopIfTrue="1">
      <formula>AND(U10&lt;&gt;"", U10 - A2 &lt;= 7, U10 - A2 &gt; 2)</formula>
    </cfRule>
  </conditionalFormatting>
  <conditionalFormatting sqref="U10">
    <cfRule type="expression" dxfId="0" priority="17737" stopIfTrue="1">
      <formula>AND(U10&lt;&gt;"", U10 - A2 &lt;= 2)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98264-DEB5-4B6B-87F5-62F119368F02}">
  <sheetPr codeName="Sheet3"/>
  <dimension ref="A1:U10"/>
  <sheetViews>
    <sheetView workbookViewId="0">
      <selection activeCell="I18" sqref="I18"/>
    </sheetView>
  </sheetViews>
  <sheetFormatPr defaultRowHeight="15" x14ac:dyDescent="0.25"/>
  <cols>
    <col min="1" max="1" width="12" bestFit="1" customWidth="1"/>
    <col min="2" max="2" width="49.5703125" bestFit="1" customWidth="1"/>
    <col min="3" max="3" width="28.7109375" bestFit="1" customWidth="1"/>
    <col min="4" max="4" width="9.7109375" bestFit="1" customWidth="1"/>
    <col min="5" max="5" width="10.85546875" bestFit="1" customWidth="1"/>
    <col min="6" max="6" width="11.85546875" bestFit="1" customWidth="1"/>
    <col min="7" max="7" width="12.140625" bestFit="1" customWidth="1"/>
    <col min="8" max="8" width="10.42578125" bestFit="1" customWidth="1"/>
    <col min="9" max="9" width="17.28515625" bestFit="1" customWidth="1"/>
    <col min="10" max="10" width="25.5703125" bestFit="1" customWidth="1"/>
    <col min="11" max="11" width="26.85546875" bestFit="1" customWidth="1"/>
    <col min="12" max="12" width="19.28515625" bestFit="1" customWidth="1"/>
    <col min="13" max="13" width="16.28515625" bestFit="1" customWidth="1"/>
    <col min="14" max="14" width="15.7109375" bestFit="1" customWidth="1"/>
    <col min="15" max="15" width="19.140625" bestFit="1" customWidth="1"/>
    <col min="16" max="16" width="16.140625" bestFit="1" customWidth="1"/>
    <col min="17" max="17" width="12.42578125" bestFit="1" customWidth="1"/>
    <col min="18" max="18" width="15.7109375" bestFit="1" customWidth="1"/>
    <col min="19" max="19" width="22.140625" bestFit="1" customWidth="1"/>
    <col min="20" max="20" width="15.7109375" bestFit="1" customWidth="1"/>
    <col min="21" max="21" width="15.85546875" bestFit="1" customWidth="1"/>
  </cols>
  <sheetData>
    <row r="1" spans="1:21" s="1" customFormat="1" ht="15.75" customHeight="1" x14ac:dyDescent="0.2">
      <c r="A1" s="23" t="s">
        <v>7</v>
      </c>
      <c r="B1" s="37" t="s">
        <v>72</v>
      </c>
      <c r="C1" s="38"/>
      <c r="D1" s="38"/>
      <c r="E1" s="38"/>
      <c r="F1" s="38"/>
      <c r="G1" s="38"/>
      <c r="H1" s="38"/>
      <c r="I1" s="3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50"/>
    </row>
    <row r="2" spans="1:21" s="1" customFormat="1" ht="15" customHeight="1" x14ac:dyDescent="0.2">
      <c r="A2" s="46">
        <f ca="1" xml:space="preserve"> TODAY()</f>
        <v>45429</v>
      </c>
      <c r="B2" s="40"/>
      <c r="C2" s="41"/>
      <c r="D2" s="41"/>
      <c r="E2" s="41"/>
      <c r="F2" s="41"/>
      <c r="G2" s="41"/>
      <c r="H2" s="41"/>
      <c r="I2" s="42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2"/>
    </row>
    <row r="3" spans="1:21" s="1" customFormat="1" ht="15" customHeight="1" thickBot="1" x14ac:dyDescent="0.25">
      <c r="A3" s="47"/>
      <c r="B3" s="43"/>
      <c r="C3" s="44"/>
      <c r="D3" s="44"/>
      <c r="E3" s="44"/>
      <c r="F3" s="44"/>
      <c r="G3" s="44"/>
      <c r="H3" s="44"/>
      <c r="I3" s="45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4"/>
    </row>
    <row r="4" spans="1:21" s="19" customFormat="1" ht="18" x14ac:dyDescent="0.25">
      <c r="A4" s="48" t="s">
        <v>66</v>
      </c>
      <c r="B4" s="48"/>
      <c r="C4" s="48"/>
      <c r="D4" s="48"/>
      <c r="E4" s="48"/>
      <c r="F4" s="48"/>
      <c r="G4" s="48"/>
      <c r="H4" s="48"/>
      <c r="I4" s="48"/>
      <c r="J4" s="17" t="s">
        <v>50</v>
      </c>
      <c r="K4" s="18" t="s">
        <v>49</v>
      </c>
      <c r="L4" s="18" t="s">
        <v>48</v>
      </c>
      <c r="M4" s="18" t="s">
        <v>47</v>
      </c>
      <c r="N4" s="18" t="s">
        <v>46</v>
      </c>
      <c r="O4" s="18" t="s">
        <v>45</v>
      </c>
      <c r="P4" s="18" t="s">
        <v>44</v>
      </c>
      <c r="Q4" s="18" t="s">
        <v>43</v>
      </c>
      <c r="R4" s="18" t="s">
        <v>42</v>
      </c>
      <c r="S4" s="18" t="s">
        <v>41</v>
      </c>
      <c r="T4" s="18" t="s">
        <v>40</v>
      </c>
      <c r="U4" s="18" t="s">
        <v>51</v>
      </c>
    </row>
    <row r="5" spans="1:21" s="22" customFormat="1" ht="71.25" x14ac:dyDescent="0.25">
      <c r="A5" s="20" t="s">
        <v>67</v>
      </c>
      <c r="B5" s="21" t="s">
        <v>60</v>
      </c>
      <c r="C5" s="22" t="s">
        <v>1</v>
      </c>
      <c r="D5" s="22" t="s">
        <v>0</v>
      </c>
      <c r="E5" s="22" t="s">
        <v>61</v>
      </c>
      <c r="F5" s="22" t="s">
        <v>62</v>
      </c>
      <c r="G5" s="22" t="s">
        <v>63</v>
      </c>
      <c r="H5" s="22" t="s">
        <v>64</v>
      </c>
      <c r="I5" s="22" t="s">
        <v>65</v>
      </c>
      <c r="J5" s="22" t="s">
        <v>39</v>
      </c>
      <c r="K5" s="22" t="s">
        <v>38</v>
      </c>
      <c r="L5" s="22" t="s">
        <v>37</v>
      </c>
      <c r="M5" s="22" t="s">
        <v>36</v>
      </c>
      <c r="N5" s="22" t="s">
        <v>35</v>
      </c>
      <c r="O5" s="22" t="s">
        <v>34</v>
      </c>
      <c r="P5" s="22" t="s">
        <v>33</v>
      </c>
      <c r="Q5" s="22" t="s">
        <v>32</v>
      </c>
      <c r="R5" s="22" t="s">
        <v>31</v>
      </c>
      <c r="S5" s="22" t="s">
        <v>30</v>
      </c>
      <c r="T5" s="22" t="s">
        <v>29</v>
      </c>
      <c r="U5" s="22" t="s">
        <v>28</v>
      </c>
    </row>
    <row r="6" spans="1:21" x14ac:dyDescent="0.25">
      <c r="A6" t="s">
        <v>15</v>
      </c>
      <c r="B6" t="s">
        <v>52</v>
      </c>
      <c r="C6" t="s">
        <v>4</v>
      </c>
      <c r="D6" s="25">
        <v>44329</v>
      </c>
      <c r="E6" s="25">
        <v>44329</v>
      </c>
      <c r="F6">
        <v>-1100</v>
      </c>
      <c r="G6" t="s">
        <v>22</v>
      </c>
      <c r="H6" t="s">
        <v>21</v>
      </c>
      <c r="I6" t="s">
        <v>25</v>
      </c>
      <c r="J6" s="25">
        <v>44245</v>
      </c>
      <c r="K6" s="25">
        <v>44252</v>
      </c>
      <c r="L6" s="25">
        <v>44259</v>
      </c>
      <c r="M6" s="25">
        <v>44266</v>
      </c>
      <c r="N6" s="25">
        <v>44273</v>
      </c>
      <c r="O6" s="25">
        <v>44280</v>
      </c>
      <c r="P6" s="25">
        <v>44287</v>
      </c>
      <c r="Q6" s="25">
        <v>44294</v>
      </c>
      <c r="R6" s="25">
        <v>44301</v>
      </c>
      <c r="S6" s="25">
        <v>44308</v>
      </c>
      <c r="T6" s="25">
        <v>44315</v>
      </c>
    </row>
    <row r="7" spans="1:21" x14ac:dyDescent="0.25">
      <c r="A7" t="s">
        <v>17</v>
      </c>
      <c r="B7" t="s">
        <v>56</v>
      </c>
      <c r="C7" t="s">
        <v>8</v>
      </c>
      <c r="D7" s="25">
        <v>45310</v>
      </c>
      <c r="E7" s="25">
        <v>45310</v>
      </c>
      <c r="F7">
        <v>-119</v>
      </c>
      <c r="G7" t="s">
        <v>22</v>
      </c>
      <c r="H7" t="s">
        <v>21</v>
      </c>
      <c r="I7" t="s">
        <v>25</v>
      </c>
      <c r="J7" s="25">
        <v>45226</v>
      </c>
      <c r="K7" s="25">
        <v>45233</v>
      </c>
      <c r="L7" s="25">
        <v>45240</v>
      </c>
      <c r="M7" s="25">
        <v>45247</v>
      </c>
      <c r="N7" s="25">
        <v>45254</v>
      </c>
      <c r="O7" s="25">
        <v>45261</v>
      </c>
      <c r="P7" s="25">
        <v>45268</v>
      </c>
      <c r="Q7" s="25">
        <v>45275</v>
      </c>
      <c r="R7" s="25">
        <v>45282</v>
      </c>
      <c r="S7" s="25">
        <v>45289</v>
      </c>
      <c r="T7" s="25">
        <v>45296</v>
      </c>
    </row>
    <row r="8" spans="1:21" x14ac:dyDescent="0.25">
      <c r="A8" t="s">
        <v>14</v>
      </c>
      <c r="B8" t="s">
        <v>55</v>
      </c>
      <c r="C8" t="s">
        <v>3</v>
      </c>
      <c r="D8" s="25">
        <v>45373</v>
      </c>
      <c r="E8" s="25">
        <v>45371</v>
      </c>
      <c r="F8">
        <v>-56</v>
      </c>
      <c r="G8" t="s">
        <v>22</v>
      </c>
      <c r="H8" t="s">
        <v>21</v>
      </c>
      <c r="I8" t="s">
        <v>27</v>
      </c>
      <c r="J8" s="25">
        <v>45287</v>
      </c>
      <c r="K8" s="25">
        <v>45294</v>
      </c>
      <c r="L8" s="25">
        <v>45301</v>
      </c>
      <c r="M8" s="25">
        <v>45308</v>
      </c>
      <c r="N8" s="25">
        <v>45315</v>
      </c>
      <c r="O8" s="25">
        <v>45322</v>
      </c>
      <c r="P8" s="25">
        <v>45329</v>
      </c>
      <c r="Q8" s="25">
        <v>45336</v>
      </c>
      <c r="R8" s="25">
        <v>45343</v>
      </c>
      <c r="S8" s="25">
        <v>45350</v>
      </c>
      <c r="T8" s="25">
        <v>45357</v>
      </c>
    </row>
    <row r="9" spans="1:21" x14ac:dyDescent="0.25">
      <c r="A9" t="s">
        <v>19</v>
      </c>
      <c r="B9" t="s">
        <v>54</v>
      </c>
      <c r="C9" t="s">
        <v>11</v>
      </c>
      <c r="D9" s="25">
        <v>45401</v>
      </c>
      <c r="E9" s="25">
        <v>45401</v>
      </c>
      <c r="F9">
        <v>-28</v>
      </c>
      <c r="G9" t="s">
        <v>22</v>
      </c>
      <c r="H9" t="s">
        <v>21</v>
      </c>
      <c r="I9" t="s">
        <v>27</v>
      </c>
      <c r="J9" s="25">
        <v>45317</v>
      </c>
      <c r="K9" s="25">
        <v>45324</v>
      </c>
      <c r="L9" s="25">
        <v>45331</v>
      </c>
      <c r="M9" s="25">
        <v>45338</v>
      </c>
      <c r="N9" s="25">
        <v>45345</v>
      </c>
      <c r="O9" s="25">
        <v>45352</v>
      </c>
      <c r="P9" s="25">
        <v>45359</v>
      </c>
      <c r="Q9" s="25">
        <v>45366</v>
      </c>
      <c r="R9" s="25">
        <v>45373</v>
      </c>
      <c r="S9" s="25">
        <v>45380</v>
      </c>
      <c r="T9" s="25">
        <v>45387</v>
      </c>
    </row>
    <row r="10" spans="1:21" x14ac:dyDescent="0.25">
      <c r="A10" t="s">
        <v>16</v>
      </c>
      <c r="B10" t="s">
        <v>58</v>
      </c>
      <c r="C10" t="s">
        <v>5</v>
      </c>
      <c r="D10" s="25">
        <v>45411</v>
      </c>
      <c r="E10" s="25">
        <v>45415</v>
      </c>
      <c r="F10">
        <v>-18</v>
      </c>
      <c r="G10" t="s">
        <v>22</v>
      </c>
      <c r="H10" t="s">
        <v>21</v>
      </c>
      <c r="I10" t="s">
        <v>27</v>
      </c>
      <c r="J10" s="25">
        <v>45331</v>
      </c>
      <c r="K10" s="25">
        <v>45338</v>
      </c>
      <c r="L10" s="25">
        <v>45345</v>
      </c>
      <c r="M10" s="25">
        <v>45352</v>
      </c>
      <c r="N10" s="25">
        <v>45359</v>
      </c>
      <c r="O10" s="25">
        <v>45366</v>
      </c>
      <c r="P10" s="25">
        <v>45373</v>
      </c>
      <c r="Q10" s="25">
        <v>45380</v>
      </c>
      <c r="R10" s="25">
        <v>45387</v>
      </c>
      <c r="S10" s="25">
        <v>45394</v>
      </c>
      <c r="T10" s="25">
        <v>45401</v>
      </c>
    </row>
  </sheetData>
  <mergeCells count="4">
    <mergeCell ref="B1:I3"/>
    <mergeCell ref="J1:U3"/>
    <mergeCell ref="A2:A3"/>
    <mergeCell ref="A4:I4"/>
  </mergeCells>
  <conditionalFormatting sqref="J2">
    <cfRule type="expression" dxfId="1077" priority="97" stopIfTrue="1">
      <formula>AND(J2&lt;&gt;"", J2 - A2 &gt; 14)</formula>
    </cfRule>
  </conditionalFormatting>
  <conditionalFormatting sqref="J2">
    <cfRule type="expression" dxfId="1076" priority="98" stopIfTrue="1">
      <formula>AND(J2&lt;&gt;"", J2 - A2 &lt;= 14, J2 - A2 &gt; 7)</formula>
    </cfRule>
  </conditionalFormatting>
  <conditionalFormatting sqref="J2">
    <cfRule type="expression" dxfId="1075" priority="99" stopIfTrue="1">
      <formula>AND(J2&lt;&gt;"", J2 - A2 &lt;= 7, J2 - A2 &gt; 2)</formula>
    </cfRule>
  </conditionalFormatting>
  <conditionalFormatting sqref="J2">
    <cfRule type="expression" dxfId="1074" priority="100" stopIfTrue="1">
      <formula>AND(J2&lt;&gt;"", J2 - A2 &lt;= 2)</formula>
    </cfRule>
  </conditionalFormatting>
  <conditionalFormatting sqref="K2">
    <cfRule type="expression" dxfId="1073" priority="101" stopIfTrue="1">
      <formula>AND(K2&lt;&gt;"", K2 - A2 &gt; 14)</formula>
    </cfRule>
  </conditionalFormatting>
  <conditionalFormatting sqref="K2">
    <cfRule type="expression" dxfId="1072" priority="102" stopIfTrue="1">
      <formula>AND(K2&lt;&gt;"", K2 - A2 &lt;= 14, K2 - A2 &gt; 7)</formula>
    </cfRule>
  </conditionalFormatting>
  <conditionalFormatting sqref="K2">
    <cfRule type="expression" dxfId="1071" priority="103" stopIfTrue="1">
      <formula>AND(K2&lt;&gt;"", K2 - A2 &lt;= 7, K2 - A2 &gt; 2)</formula>
    </cfRule>
  </conditionalFormatting>
  <conditionalFormatting sqref="K2">
    <cfRule type="expression" dxfId="1070" priority="104" stopIfTrue="1">
      <formula>AND(K2&lt;&gt;"", K2 - A2 &lt;= 2)</formula>
    </cfRule>
  </conditionalFormatting>
  <conditionalFormatting sqref="L2">
    <cfRule type="expression" dxfId="1069" priority="105" stopIfTrue="1">
      <formula>AND(L2&lt;&gt;"", L2 - A2 &gt; 14)</formula>
    </cfRule>
  </conditionalFormatting>
  <conditionalFormatting sqref="L2">
    <cfRule type="expression" dxfId="1068" priority="106" stopIfTrue="1">
      <formula>AND(L2&lt;&gt;"", L2 - A2 &lt;= 14, L2 - A2 &gt; 7)</formula>
    </cfRule>
  </conditionalFormatting>
  <conditionalFormatting sqref="L2">
    <cfRule type="expression" dxfId="1067" priority="107" stopIfTrue="1">
      <formula>AND(L2&lt;&gt;"", L2 - A2 &lt;= 7, L2 - A2 &gt; 2)</formula>
    </cfRule>
  </conditionalFormatting>
  <conditionalFormatting sqref="L2">
    <cfRule type="expression" dxfId="1066" priority="108" stopIfTrue="1">
      <formula>AND(L2&lt;&gt;"", L2 - A2 &lt;= 2)</formula>
    </cfRule>
  </conditionalFormatting>
  <conditionalFormatting sqref="M2">
    <cfRule type="expression" dxfId="1065" priority="109" stopIfTrue="1">
      <formula>AND(M2&lt;&gt;"", M2 - A2 &gt; 14)</formula>
    </cfRule>
  </conditionalFormatting>
  <conditionalFormatting sqref="M2">
    <cfRule type="expression" dxfId="1064" priority="110" stopIfTrue="1">
      <formula>AND(M2&lt;&gt;"", M2 - A2 &lt;= 14, M2 - A2 &gt; 7)</formula>
    </cfRule>
  </conditionalFormatting>
  <conditionalFormatting sqref="M2">
    <cfRule type="expression" dxfId="1063" priority="111" stopIfTrue="1">
      <formula>AND(M2&lt;&gt;"", M2 - A2 &lt;= 7, M2 - A2 &gt; 2)</formula>
    </cfRule>
  </conditionalFormatting>
  <conditionalFormatting sqref="M2">
    <cfRule type="expression" dxfId="1062" priority="112" stopIfTrue="1">
      <formula>AND(M2&lt;&gt;"", M2 - A2 &lt;= 2)</formula>
    </cfRule>
  </conditionalFormatting>
  <conditionalFormatting sqref="N2">
    <cfRule type="expression" dxfId="1061" priority="113" stopIfTrue="1">
      <formula>AND(N2&lt;&gt;"", N2 - A2 &gt; 14)</formula>
    </cfRule>
  </conditionalFormatting>
  <conditionalFormatting sqref="N2">
    <cfRule type="expression" dxfId="1060" priority="114" stopIfTrue="1">
      <formula>AND(N2&lt;&gt;"", N2 - A2 &lt;= 14, N2 - A2 &gt; 7)</formula>
    </cfRule>
  </conditionalFormatting>
  <conditionalFormatting sqref="N2">
    <cfRule type="expression" dxfId="1059" priority="115" stopIfTrue="1">
      <formula>AND(N2&lt;&gt;"", N2 - A2 &lt;= 7, N2 - A2 &gt; 2)</formula>
    </cfRule>
  </conditionalFormatting>
  <conditionalFormatting sqref="N2">
    <cfRule type="expression" dxfId="1058" priority="116" stopIfTrue="1">
      <formula>AND(N2&lt;&gt;"", N2 - A2 &lt;= 2)</formula>
    </cfRule>
  </conditionalFormatting>
  <conditionalFormatting sqref="O2">
    <cfRule type="expression" dxfId="1057" priority="117" stopIfTrue="1">
      <formula>AND(O2&lt;&gt;"", O2 - A2 &gt; 14)</formula>
    </cfRule>
  </conditionalFormatting>
  <conditionalFormatting sqref="O2">
    <cfRule type="expression" dxfId="1056" priority="118" stopIfTrue="1">
      <formula>AND(O2&lt;&gt;"", O2 - A2 &lt;= 14, O2 - A2 &gt; 7)</formula>
    </cfRule>
  </conditionalFormatting>
  <conditionalFormatting sqref="O2">
    <cfRule type="expression" dxfId="1055" priority="119" stopIfTrue="1">
      <formula>AND(O2&lt;&gt;"", O2 - A2 &lt;= 7, O2 - A2 &gt; 2)</formula>
    </cfRule>
  </conditionalFormatting>
  <conditionalFormatting sqref="O2">
    <cfRule type="expression" dxfId="1054" priority="120" stopIfTrue="1">
      <formula>AND(O2&lt;&gt;"", O2 - A2 &lt;= 2)</formula>
    </cfRule>
  </conditionalFormatting>
  <conditionalFormatting sqref="P2">
    <cfRule type="expression" dxfId="1053" priority="121" stopIfTrue="1">
      <formula>AND(P2&lt;&gt;"", P2 - A2 &gt; 14)</formula>
    </cfRule>
  </conditionalFormatting>
  <conditionalFormatting sqref="P2">
    <cfRule type="expression" dxfId="1052" priority="122" stopIfTrue="1">
      <formula>AND(P2&lt;&gt;"", P2 - A2 &lt;= 14, P2 - A2 &gt; 7)</formula>
    </cfRule>
  </conditionalFormatting>
  <conditionalFormatting sqref="P2">
    <cfRule type="expression" dxfId="1051" priority="123" stopIfTrue="1">
      <formula>AND(P2&lt;&gt;"", P2 - A2 &lt;= 7, P2 - A2 &gt; 2)</formula>
    </cfRule>
  </conditionalFormatting>
  <conditionalFormatting sqref="P2">
    <cfRule type="expression" dxfId="1050" priority="124" stopIfTrue="1">
      <formula>AND(P2&lt;&gt;"", P2 - A2 &lt;= 2)</formula>
    </cfRule>
  </conditionalFormatting>
  <conditionalFormatting sqref="Q2">
    <cfRule type="expression" dxfId="1049" priority="125" stopIfTrue="1">
      <formula>AND(Q2&lt;&gt;"", Q2 - A2 &gt; 14)</formula>
    </cfRule>
  </conditionalFormatting>
  <conditionalFormatting sqref="Q2">
    <cfRule type="expression" dxfId="1048" priority="126" stopIfTrue="1">
      <formula>AND(Q2&lt;&gt;"", Q2 - A2 &lt;= 14, Q2 - A2 &gt; 7)</formula>
    </cfRule>
  </conditionalFormatting>
  <conditionalFormatting sqref="Q2">
    <cfRule type="expression" dxfId="1047" priority="127" stopIfTrue="1">
      <formula>AND(Q2&lt;&gt;"", Q2 - A2 &lt;= 7, Q2 - A2 &gt; 2)</formula>
    </cfRule>
  </conditionalFormatting>
  <conditionalFormatting sqref="Q2">
    <cfRule type="expression" dxfId="1046" priority="128" stopIfTrue="1">
      <formula>AND(Q2&lt;&gt;"", Q2 - A2 &lt;= 2)</formula>
    </cfRule>
  </conditionalFormatting>
  <conditionalFormatting sqref="R2">
    <cfRule type="expression" dxfId="1045" priority="129" stopIfTrue="1">
      <formula>AND(R2&lt;&gt;"", R2 - A2 &gt; 14)</formula>
    </cfRule>
  </conditionalFormatting>
  <conditionalFormatting sqref="R2">
    <cfRule type="expression" dxfId="1044" priority="130" stopIfTrue="1">
      <formula>AND(R2&lt;&gt;"", R2 - A2 &lt;= 14, R2 - A2 &gt; 7)</formula>
    </cfRule>
  </conditionalFormatting>
  <conditionalFormatting sqref="R2">
    <cfRule type="expression" dxfId="1043" priority="131" stopIfTrue="1">
      <formula>AND(R2&lt;&gt;"", R2 - A2 &lt;= 7, R2 - A2 &gt; 2)</formula>
    </cfRule>
  </conditionalFormatting>
  <conditionalFormatting sqref="R2">
    <cfRule type="expression" dxfId="1042" priority="132" stopIfTrue="1">
      <formula>AND(R2&lt;&gt;"", R2 - A2 &lt;= 2)</formula>
    </cfRule>
  </conditionalFormatting>
  <conditionalFormatting sqref="S2">
    <cfRule type="expression" dxfId="1041" priority="133" stopIfTrue="1">
      <formula>AND(S2&lt;&gt;"", S2 - A2 &gt; 14)</formula>
    </cfRule>
  </conditionalFormatting>
  <conditionalFormatting sqref="S2">
    <cfRule type="expression" dxfId="1040" priority="134" stopIfTrue="1">
      <formula>AND(S2&lt;&gt;"", S2 - A2 &lt;= 14, S2 - A2 &gt; 7)</formula>
    </cfRule>
  </conditionalFormatting>
  <conditionalFormatting sqref="S2">
    <cfRule type="expression" dxfId="1039" priority="135" stopIfTrue="1">
      <formula>AND(S2&lt;&gt;"", S2 - A2 &lt;= 7, S2 - A2 &gt; 2)</formula>
    </cfRule>
  </conditionalFormatting>
  <conditionalFormatting sqref="S2">
    <cfRule type="expression" dxfId="1038" priority="136" stopIfTrue="1">
      <formula>AND(S2&lt;&gt;"", S2 - A2 &lt;= 2)</formula>
    </cfRule>
  </conditionalFormatting>
  <conditionalFormatting sqref="T2">
    <cfRule type="expression" dxfId="1037" priority="137" stopIfTrue="1">
      <formula>AND(T2&lt;&gt;"", T2 - A2 &gt; 14)</formula>
    </cfRule>
  </conditionalFormatting>
  <conditionalFormatting sqref="T2">
    <cfRule type="expression" dxfId="1036" priority="138" stopIfTrue="1">
      <formula>AND(T2&lt;&gt;"", T2 - A2 &lt;= 14, T2 - A2 &gt; 7)</formula>
    </cfRule>
  </conditionalFormatting>
  <conditionalFormatting sqref="T2">
    <cfRule type="expression" dxfId="1035" priority="139" stopIfTrue="1">
      <formula>AND(T2&lt;&gt;"", T2 - A2 &lt;= 7, T2 - A2 &gt; 2)</formula>
    </cfRule>
  </conditionalFormatting>
  <conditionalFormatting sqref="T2">
    <cfRule type="expression" dxfId="1034" priority="140" stopIfTrue="1">
      <formula>AND(T2&lt;&gt;"", T2 - A2 &lt;= 2)</formula>
    </cfRule>
  </conditionalFormatting>
  <conditionalFormatting sqref="U2">
    <cfRule type="expression" dxfId="1033" priority="141" stopIfTrue="1">
      <formula>AND(U2&lt;&gt;"", U2 - A2 &gt; 14)</formula>
    </cfRule>
  </conditionalFormatting>
  <conditionalFormatting sqref="U2">
    <cfRule type="expression" dxfId="1032" priority="142" stopIfTrue="1">
      <formula>AND(U2&lt;&gt;"", U2 - A2 &lt;= 14, U2 - A2 &gt; 7)</formula>
    </cfRule>
  </conditionalFormatting>
  <conditionalFormatting sqref="U2">
    <cfRule type="expression" dxfId="1031" priority="143" stopIfTrue="1">
      <formula>AND(U2&lt;&gt;"", U2 - A2 &lt;= 7, U2 - A2 &gt; 2)</formula>
    </cfRule>
  </conditionalFormatting>
  <conditionalFormatting sqref="U2">
    <cfRule type="expression" dxfId="1030" priority="144" stopIfTrue="1">
      <formula>AND(U2&lt;&gt;"", U2 - A2 &lt;= 2)</formula>
    </cfRule>
  </conditionalFormatting>
  <conditionalFormatting sqref="J3">
    <cfRule type="expression" dxfId="1029" priority="145" stopIfTrue="1">
      <formula>AND(J3&lt;&gt;"", J3 - A2 &gt; 14)</formula>
    </cfRule>
  </conditionalFormatting>
  <conditionalFormatting sqref="J3">
    <cfRule type="expression" dxfId="1028" priority="146" stopIfTrue="1">
      <formula>AND(J3&lt;&gt;"", J3 - A2 &lt;= 14, J3 - A2 &gt; 7)</formula>
    </cfRule>
  </conditionalFormatting>
  <conditionalFormatting sqref="J3">
    <cfRule type="expression" dxfId="1027" priority="147" stopIfTrue="1">
      <formula>AND(J3&lt;&gt;"", J3 - A2 &lt;= 7, J3 - A2 &gt; 2)</formula>
    </cfRule>
  </conditionalFormatting>
  <conditionalFormatting sqref="J3">
    <cfRule type="expression" dxfId="1026" priority="148" stopIfTrue="1">
      <formula>AND(J3&lt;&gt;"", J3 - A2 &lt;= 2)</formula>
    </cfRule>
  </conditionalFormatting>
  <conditionalFormatting sqref="K3">
    <cfRule type="expression" dxfId="1025" priority="149" stopIfTrue="1">
      <formula>AND(K3&lt;&gt;"", K3 - A2 &gt; 14)</formula>
    </cfRule>
  </conditionalFormatting>
  <conditionalFormatting sqref="K3">
    <cfRule type="expression" dxfId="1024" priority="150" stopIfTrue="1">
      <formula>AND(K3&lt;&gt;"", K3 - A2 &lt;= 14, K3 - A2 &gt; 7)</formula>
    </cfRule>
  </conditionalFormatting>
  <conditionalFormatting sqref="K3">
    <cfRule type="expression" dxfId="1023" priority="151" stopIfTrue="1">
      <formula>AND(K3&lt;&gt;"", K3 - A2 &lt;= 7, K3 - A2 &gt; 2)</formula>
    </cfRule>
  </conditionalFormatting>
  <conditionalFormatting sqref="K3">
    <cfRule type="expression" dxfId="1022" priority="152" stopIfTrue="1">
      <formula>AND(K3&lt;&gt;"", K3 - A2 &lt;= 2)</formula>
    </cfRule>
  </conditionalFormatting>
  <conditionalFormatting sqref="L3">
    <cfRule type="expression" dxfId="1021" priority="153" stopIfTrue="1">
      <formula>AND(L3&lt;&gt;"", L3 - A2 &gt; 14)</formula>
    </cfRule>
  </conditionalFormatting>
  <conditionalFormatting sqref="L3">
    <cfRule type="expression" dxfId="1020" priority="154" stopIfTrue="1">
      <formula>AND(L3&lt;&gt;"", L3 - A2 &lt;= 14, L3 - A2 &gt; 7)</formula>
    </cfRule>
  </conditionalFormatting>
  <conditionalFormatting sqref="L3">
    <cfRule type="expression" dxfId="1019" priority="155" stopIfTrue="1">
      <formula>AND(L3&lt;&gt;"", L3 - A2 &lt;= 7, L3 - A2 &gt; 2)</formula>
    </cfRule>
  </conditionalFormatting>
  <conditionalFormatting sqref="L3">
    <cfRule type="expression" dxfId="1018" priority="156" stopIfTrue="1">
      <formula>AND(L3&lt;&gt;"", L3 - A2 &lt;= 2)</formula>
    </cfRule>
  </conditionalFormatting>
  <conditionalFormatting sqref="M3">
    <cfRule type="expression" dxfId="1017" priority="157" stopIfTrue="1">
      <formula>AND(M3&lt;&gt;"", M3 - A2 &gt; 14)</formula>
    </cfRule>
  </conditionalFormatting>
  <conditionalFormatting sqref="M3">
    <cfRule type="expression" dxfId="1016" priority="158" stopIfTrue="1">
      <formula>AND(M3&lt;&gt;"", M3 - A2 &lt;= 14, M3 - A2 &gt; 7)</formula>
    </cfRule>
  </conditionalFormatting>
  <conditionalFormatting sqref="M3">
    <cfRule type="expression" dxfId="1015" priority="159" stopIfTrue="1">
      <formula>AND(M3&lt;&gt;"", M3 - A2 &lt;= 7, M3 - A2 &gt; 2)</formula>
    </cfRule>
  </conditionalFormatting>
  <conditionalFormatting sqref="M3">
    <cfRule type="expression" dxfId="1014" priority="160" stopIfTrue="1">
      <formula>AND(M3&lt;&gt;"", M3 - A2 &lt;= 2)</formula>
    </cfRule>
  </conditionalFormatting>
  <conditionalFormatting sqref="N3">
    <cfRule type="expression" dxfId="1013" priority="161" stopIfTrue="1">
      <formula>AND(N3&lt;&gt;"", N3 - A2 &gt; 14)</formula>
    </cfRule>
  </conditionalFormatting>
  <conditionalFormatting sqref="N3">
    <cfRule type="expression" dxfId="1012" priority="162" stopIfTrue="1">
      <formula>AND(N3&lt;&gt;"", N3 - A2 &lt;= 14, N3 - A2 &gt; 7)</formula>
    </cfRule>
  </conditionalFormatting>
  <conditionalFormatting sqref="N3">
    <cfRule type="expression" dxfId="1011" priority="163" stopIfTrue="1">
      <formula>AND(N3&lt;&gt;"", N3 - A2 &lt;= 7, N3 - A2 &gt; 2)</formula>
    </cfRule>
  </conditionalFormatting>
  <conditionalFormatting sqref="N3">
    <cfRule type="expression" dxfId="1010" priority="164" stopIfTrue="1">
      <formula>AND(N3&lt;&gt;"", N3 - A2 &lt;= 2)</formula>
    </cfRule>
  </conditionalFormatting>
  <conditionalFormatting sqref="O3">
    <cfRule type="expression" dxfId="1009" priority="165" stopIfTrue="1">
      <formula>AND(O3&lt;&gt;"", O3 - A2 &gt; 14)</formula>
    </cfRule>
  </conditionalFormatting>
  <conditionalFormatting sqref="O3">
    <cfRule type="expression" dxfId="1008" priority="166" stopIfTrue="1">
      <formula>AND(O3&lt;&gt;"", O3 - A2 &lt;= 14, O3 - A2 &gt; 7)</formula>
    </cfRule>
  </conditionalFormatting>
  <conditionalFormatting sqref="O3">
    <cfRule type="expression" dxfId="1007" priority="167" stopIfTrue="1">
      <formula>AND(O3&lt;&gt;"", O3 - A2 &lt;= 7, O3 - A2 &gt; 2)</formula>
    </cfRule>
  </conditionalFormatting>
  <conditionalFormatting sqref="O3">
    <cfRule type="expression" dxfId="1006" priority="168" stopIfTrue="1">
      <formula>AND(O3&lt;&gt;"", O3 - A2 &lt;= 2)</formula>
    </cfRule>
  </conditionalFormatting>
  <conditionalFormatting sqref="P3">
    <cfRule type="expression" dxfId="1005" priority="169" stopIfTrue="1">
      <formula>AND(P3&lt;&gt;"", P3 - A2 &gt; 14)</formula>
    </cfRule>
  </conditionalFormatting>
  <conditionalFormatting sqref="P3">
    <cfRule type="expression" dxfId="1004" priority="170" stopIfTrue="1">
      <formula>AND(P3&lt;&gt;"", P3 - A2 &lt;= 14, P3 - A2 &gt; 7)</formula>
    </cfRule>
  </conditionalFormatting>
  <conditionalFormatting sqref="P3">
    <cfRule type="expression" dxfId="1003" priority="171" stopIfTrue="1">
      <formula>AND(P3&lt;&gt;"", P3 - A2 &lt;= 7, P3 - A2 &gt; 2)</formula>
    </cfRule>
  </conditionalFormatting>
  <conditionalFormatting sqref="P3">
    <cfRule type="expression" dxfId="1002" priority="172" stopIfTrue="1">
      <formula>AND(P3&lt;&gt;"", P3 - A2 &lt;= 2)</formula>
    </cfRule>
  </conditionalFormatting>
  <conditionalFormatting sqref="Q3">
    <cfRule type="expression" dxfId="1001" priority="173" stopIfTrue="1">
      <formula>AND(Q3&lt;&gt;"", Q3 - A2 &gt; 14)</formula>
    </cfRule>
  </conditionalFormatting>
  <conditionalFormatting sqref="Q3">
    <cfRule type="expression" dxfId="1000" priority="174" stopIfTrue="1">
      <formula>AND(Q3&lt;&gt;"", Q3 - A2 &lt;= 14, Q3 - A2 &gt; 7)</formula>
    </cfRule>
  </conditionalFormatting>
  <conditionalFormatting sqref="Q3">
    <cfRule type="expression" dxfId="999" priority="175" stopIfTrue="1">
      <formula>AND(Q3&lt;&gt;"", Q3 - A2 &lt;= 7, Q3 - A2 &gt; 2)</formula>
    </cfRule>
  </conditionalFormatting>
  <conditionalFormatting sqref="Q3">
    <cfRule type="expression" dxfId="998" priority="176" stopIfTrue="1">
      <formula>AND(Q3&lt;&gt;"", Q3 - A2 &lt;= 2)</formula>
    </cfRule>
  </conditionalFormatting>
  <conditionalFormatting sqref="R3">
    <cfRule type="expression" dxfId="997" priority="177" stopIfTrue="1">
      <formula>AND(R3&lt;&gt;"", R3 - A2 &gt; 14)</formula>
    </cfRule>
  </conditionalFormatting>
  <conditionalFormatting sqref="R3">
    <cfRule type="expression" dxfId="996" priority="178" stopIfTrue="1">
      <formula>AND(R3&lt;&gt;"", R3 - A2 &lt;= 14, R3 - A2 &gt; 7)</formula>
    </cfRule>
  </conditionalFormatting>
  <conditionalFormatting sqref="R3">
    <cfRule type="expression" dxfId="995" priority="179" stopIfTrue="1">
      <formula>AND(R3&lt;&gt;"", R3 - A2 &lt;= 7, R3 - A2 &gt; 2)</formula>
    </cfRule>
  </conditionalFormatting>
  <conditionalFormatting sqref="R3">
    <cfRule type="expression" dxfId="994" priority="180" stopIfTrue="1">
      <formula>AND(R3&lt;&gt;"", R3 - A2 &lt;= 2)</formula>
    </cfRule>
  </conditionalFormatting>
  <conditionalFormatting sqref="S3">
    <cfRule type="expression" dxfId="993" priority="181" stopIfTrue="1">
      <formula>AND(S3&lt;&gt;"", S3 - A2 &gt; 14)</formula>
    </cfRule>
  </conditionalFormatting>
  <conditionalFormatting sqref="S3">
    <cfRule type="expression" dxfId="992" priority="182" stopIfTrue="1">
      <formula>AND(S3&lt;&gt;"", S3 - A2 &lt;= 14, S3 - A2 &gt; 7)</formula>
    </cfRule>
  </conditionalFormatting>
  <conditionalFormatting sqref="S3">
    <cfRule type="expression" dxfId="991" priority="183" stopIfTrue="1">
      <formula>AND(S3&lt;&gt;"", S3 - A2 &lt;= 7, S3 - A2 &gt; 2)</formula>
    </cfRule>
  </conditionalFormatting>
  <conditionalFormatting sqref="S3">
    <cfRule type="expression" dxfId="990" priority="184" stopIfTrue="1">
      <formula>AND(S3&lt;&gt;"", S3 - A2 &lt;= 2)</formula>
    </cfRule>
  </conditionalFormatting>
  <conditionalFormatting sqref="T3">
    <cfRule type="expression" dxfId="989" priority="185" stopIfTrue="1">
      <formula>AND(T3&lt;&gt;"", T3 - A2 &gt; 14)</formula>
    </cfRule>
  </conditionalFormatting>
  <conditionalFormatting sqref="T3">
    <cfRule type="expression" dxfId="988" priority="186" stopIfTrue="1">
      <formula>AND(T3&lt;&gt;"", T3 - A2 &lt;= 14, T3 - A2 &gt; 7)</formula>
    </cfRule>
  </conditionalFormatting>
  <conditionalFormatting sqref="T3">
    <cfRule type="expression" dxfId="987" priority="187" stopIfTrue="1">
      <formula>AND(T3&lt;&gt;"", T3 - A2 &lt;= 7, T3 - A2 &gt; 2)</formula>
    </cfRule>
  </conditionalFormatting>
  <conditionalFormatting sqref="T3">
    <cfRule type="expression" dxfId="986" priority="188" stopIfTrue="1">
      <formula>AND(T3&lt;&gt;"", T3 - A2 &lt;= 2)</formula>
    </cfRule>
  </conditionalFormatting>
  <conditionalFormatting sqref="U3">
    <cfRule type="expression" dxfId="985" priority="189" stopIfTrue="1">
      <formula>AND(U3&lt;&gt;"", U3 - A2 &gt; 14)</formula>
    </cfRule>
  </conditionalFormatting>
  <conditionalFormatting sqref="U3">
    <cfRule type="expression" dxfId="984" priority="190" stopIfTrue="1">
      <formula>AND(U3&lt;&gt;"", U3 - A2 &lt;= 14, U3 - A2 &gt; 7)</formula>
    </cfRule>
  </conditionalFormatting>
  <conditionalFormatting sqref="U3">
    <cfRule type="expression" dxfId="983" priority="191" stopIfTrue="1">
      <formula>AND(U3&lt;&gt;"", U3 - A2 &lt;= 7, U3 - A2 &gt; 2)</formula>
    </cfRule>
  </conditionalFormatting>
  <conditionalFormatting sqref="U3">
    <cfRule type="expression" dxfId="982" priority="192" stopIfTrue="1">
      <formula>AND(U3&lt;&gt;"", U3 - A2 &lt;= 2)</formula>
    </cfRule>
  </conditionalFormatting>
  <conditionalFormatting sqref="J4">
    <cfRule type="expression" dxfId="981" priority="49" stopIfTrue="1">
      <formula>AND(J4&lt;&gt;"", J4 - A2 &gt; 14)</formula>
    </cfRule>
  </conditionalFormatting>
  <conditionalFormatting sqref="J4">
    <cfRule type="expression" dxfId="980" priority="50" stopIfTrue="1">
      <formula>AND(J4&lt;&gt;"", J4 - A2 &lt;= 14, J4 - A2 &gt; 7)</formula>
    </cfRule>
  </conditionalFormatting>
  <conditionalFormatting sqref="J4">
    <cfRule type="expression" dxfId="979" priority="51" stopIfTrue="1">
      <formula>AND(J4&lt;&gt;"", J4 - A2 &lt;= 7, J4 - A2 &gt; 2)</formula>
    </cfRule>
  </conditionalFormatting>
  <conditionalFormatting sqref="J4">
    <cfRule type="expression" dxfId="978" priority="52" stopIfTrue="1">
      <formula>AND(J4&lt;&gt;"", J4 - A2 &lt;= 2)</formula>
    </cfRule>
  </conditionalFormatting>
  <conditionalFormatting sqref="K4">
    <cfRule type="expression" dxfId="977" priority="53" stopIfTrue="1">
      <formula>AND(K4&lt;&gt;"", K4 - A2 &gt; 14)</formula>
    </cfRule>
  </conditionalFormatting>
  <conditionalFormatting sqref="K4">
    <cfRule type="expression" dxfId="976" priority="54" stopIfTrue="1">
      <formula>AND(K4&lt;&gt;"", K4 - A2 &lt;= 14, K4 - A2 &gt; 7)</formula>
    </cfRule>
  </conditionalFormatting>
  <conditionalFormatting sqref="K4">
    <cfRule type="expression" dxfId="975" priority="55" stopIfTrue="1">
      <formula>AND(K4&lt;&gt;"", K4 - A2 &lt;= 7, K4 - A2 &gt; 2)</formula>
    </cfRule>
  </conditionalFormatting>
  <conditionalFormatting sqref="K4">
    <cfRule type="expression" dxfId="974" priority="56" stopIfTrue="1">
      <formula>AND(K4&lt;&gt;"", K4 - A2 &lt;= 2)</formula>
    </cfRule>
  </conditionalFormatting>
  <conditionalFormatting sqref="L4">
    <cfRule type="expression" dxfId="973" priority="57" stopIfTrue="1">
      <formula>AND(L4&lt;&gt;"", L4 - A2 &gt; 14)</formula>
    </cfRule>
  </conditionalFormatting>
  <conditionalFormatting sqref="L4">
    <cfRule type="expression" dxfId="972" priority="58" stopIfTrue="1">
      <formula>AND(L4&lt;&gt;"", L4 - A2 &lt;= 14, L4 - A2 &gt; 7)</formula>
    </cfRule>
  </conditionalFormatting>
  <conditionalFormatting sqref="L4">
    <cfRule type="expression" dxfId="971" priority="59" stopIfTrue="1">
      <formula>AND(L4&lt;&gt;"", L4 - A2 &lt;= 7, L4 - A2 &gt; 2)</formula>
    </cfRule>
  </conditionalFormatting>
  <conditionalFormatting sqref="L4">
    <cfRule type="expression" dxfId="970" priority="60" stopIfTrue="1">
      <formula>AND(L4&lt;&gt;"", L4 - A2 &lt;= 2)</formula>
    </cfRule>
  </conditionalFormatting>
  <conditionalFormatting sqref="M4">
    <cfRule type="expression" dxfId="969" priority="61" stopIfTrue="1">
      <formula>AND(M4&lt;&gt;"", M4 - A2 &gt; 14)</formula>
    </cfRule>
  </conditionalFormatting>
  <conditionalFormatting sqref="M4">
    <cfRule type="expression" dxfId="968" priority="62" stopIfTrue="1">
      <formula>AND(M4&lt;&gt;"", M4 - A2 &lt;= 14, M4 - A2 &gt; 7)</formula>
    </cfRule>
  </conditionalFormatting>
  <conditionalFormatting sqref="M4">
    <cfRule type="expression" dxfId="967" priority="63" stopIfTrue="1">
      <formula>AND(M4&lt;&gt;"", M4 - A2 &lt;= 7, M4 - A2 &gt; 2)</formula>
    </cfRule>
  </conditionalFormatting>
  <conditionalFormatting sqref="M4">
    <cfRule type="expression" dxfId="966" priority="64" stopIfTrue="1">
      <formula>AND(M4&lt;&gt;"", M4 - A2 &lt;= 2)</formula>
    </cfRule>
  </conditionalFormatting>
  <conditionalFormatting sqref="N4">
    <cfRule type="expression" dxfId="965" priority="65" stopIfTrue="1">
      <formula>AND(N4&lt;&gt;"", N4 - A2 &gt; 14)</formula>
    </cfRule>
  </conditionalFormatting>
  <conditionalFormatting sqref="N4">
    <cfRule type="expression" dxfId="964" priority="66" stopIfTrue="1">
      <formula>AND(N4&lt;&gt;"", N4 - A2 &lt;= 14, N4 - A2 &gt; 7)</formula>
    </cfRule>
  </conditionalFormatting>
  <conditionalFormatting sqref="N4">
    <cfRule type="expression" dxfId="963" priority="67" stopIfTrue="1">
      <formula>AND(N4&lt;&gt;"", N4 - A2 &lt;= 7, N4 - A2 &gt; 2)</formula>
    </cfRule>
  </conditionalFormatting>
  <conditionalFormatting sqref="N4">
    <cfRule type="expression" dxfId="962" priority="68" stopIfTrue="1">
      <formula>AND(N4&lt;&gt;"", N4 - A2 &lt;= 2)</formula>
    </cfRule>
  </conditionalFormatting>
  <conditionalFormatting sqref="O4">
    <cfRule type="expression" dxfId="961" priority="69" stopIfTrue="1">
      <formula>AND(O4&lt;&gt;"", O4 - A2 &gt; 14)</formula>
    </cfRule>
  </conditionalFormatting>
  <conditionalFormatting sqref="O4">
    <cfRule type="expression" dxfId="960" priority="70" stopIfTrue="1">
      <formula>AND(O4&lt;&gt;"", O4 - A2 &lt;= 14, O4 - A2 &gt; 7)</formula>
    </cfRule>
  </conditionalFormatting>
  <conditionalFormatting sqref="O4">
    <cfRule type="expression" dxfId="959" priority="71" stopIfTrue="1">
      <formula>AND(O4&lt;&gt;"", O4 - A2 &lt;= 7, O4 - A2 &gt; 2)</formula>
    </cfRule>
  </conditionalFormatting>
  <conditionalFormatting sqref="O4">
    <cfRule type="expression" dxfId="958" priority="72" stopIfTrue="1">
      <formula>AND(O4&lt;&gt;"", O4 - A2 &lt;= 2)</formula>
    </cfRule>
  </conditionalFormatting>
  <conditionalFormatting sqref="P4">
    <cfRule type="expression" dxfId="957" priority="73" stopIfTrue="1">
      <formula>AND(P4&lt;&gt;"", P4 - A2 &gt; 14)</formula>
    </cfRule>
  </conditionalFormatting>
  <conditionalFormatting sqref="P4">
    <cfRule type="expression" dxfId="956" priority="74" stopIfTrue="1">
      <formula>AND(P4&lt;&gt;"", P4 - A2 &lt;= 14, P4 - A2 &gt; 7)</formula>
    </cfRule>
  </conditionalFormatting>
  <conditionalFormatting sqref="P4">
    <cfRule type="expression" dxfId="955" priority="75" stopIfTrue="1">
      <formula>AND(P4&lt;&gt;"", P4 - A2 &lt;= 7, P4 - A2 &gt; 2)</formula>
    </cfRule>
  </conditionalFormatting>
  <conditionalFormatting sqref="P4">
    <cfRule type="expression" dxfId="954" priority="76" stopIfTrue="1">
      <formula>AND(P4&lt;&gt;"", P4 - A2 &lt;= 2)</formula>
    </cfRule>
  </conditionalFormatting>
  <conditionalFormatting sqref="Q4">
    <cfRule type="expression" dxfId="953" priority="77" stopIfTrue="1">
      <formula>AND(Q4&lt;&gt;"", Q4 - A2 &gt; 14)</formula>
    </cfRule>
  </conditionalFormatting>
  <conditionalFormatting sqref="Q4">
    <cfRule type="expression" dxfId="952" priority="78" stopIfTrue="1">
      <formula>AND(Q4&lt;&gt;"", Q4 - A2 &lt;= 14, Q4 - A2 &gt; 7)</formula>
    </cfRule>
  </conditionalFormatting>
  <conditionalFormatting sqref="Q4">
    <cfRule type="expression" dxfId="951" priority="79" stopIfTrue="1">
      <formula>AND(Q4&lt;&gt;"", Q4 - A2 &lt;= 7, Q4 - A2 &gt; 2)</formula>
    </cfRule>
  </conditionalFormatting>
  <conditionalFormatting sqref="Q4">
    <cfRule type="expression" dxfId="950" priority="80" stopIfTrue="1">
      <formula>AND(Q4&lt;&gt;"", Q4 - A2 &lt;= 2)</formula>
    </cfRule>
  </conditionalFormatting>
  <conditionalFormatting sqref="R4">
    <cfRule type="expression" dxfId="949" priority="81" stopIfTrue="1">
      <formula>AND(R4&lt;&gt;"", R4 - A2 &gt; 14)</formula>
    </cfRule>
  </conditionalFormatting>
  <conditionalFormatting sqref="R4">
    <cfRule type="expression" dxfId="948" priority="82" stopIfTrue="1">
      <formula>AND(R4&lt;&gt;"", R4 - A2 &lt;= 14, R4 - A2 &gt; 7)</formula>
    </cfRule>
  </conditionalFormatting>
  <conditionalFormatting sqref="R4">
    <cfRule type="expression" dxfId="947" priority="83" stopIfTrue="1">
      <formula>AND(R4&lt;&gt;"", R4 - A2 &lt;= 7, R4 - A2 &gt; 2)</formula>
    </cfRule>
  </conditionalFormatting>
  <conditionalFormatting sqref="R4">
    <cfRule type="expression" dxfId="946" priority="84" stopIfTrue="1">
      <formula>AND(R4&lt;&gt;"", R4 - A2 &lt;= 2)</formula>
    </cfRule>
  </conditionalFormatting>
  <conditionalFormatting sqref="S4">
    <cfRule type="expression" dxfId="945" priority="85" stopIfTrue="1">
      <formula>AND(S4&lt;&gt;"", S4 - A2 &gt; 14)</formula>
    </cfRule>
  </conditionalFormatting>
  <conditionalFormatting sqref="S4">
    <cfRule type="expression" dxfId="944" priority="86" stopIfTrue="1">
      <formula>AND(S4&lt;&gt;"", S4 - A2 &lt;= 14, S4 - A2 &gt; 7)</formula>
    </cfRule>
  </conditionalFormatting>
  <conditionalFormatting sqref="S4">
    <cfRule type="expression" dxfId="943" priority="87" stopIfTrue="1">
      <formula>AND(S4&lt;&gt;"", S4 - A2 &lt;= 7, S4 - A2 &gt; 2)</formula>
    </cfRule>
  </conditionalFormatting>
  <conditionalFormatting sqref="S4">
    <cfRule type="expression" dxfId="942" priority="88" stopIfTrue="1">
      <formula>AND(S4&lt;&gt;"", S4 - A2 &lt;= 2)</formula>
    </cfRule>
  </conditionalFormatting>
  <conditionalFormatting sqref="T4">
    <cfRule type="expression" dxfId="941" priority="89" stopIfTrue="1">
      <formula>AND(T4&lt;&gt;"", T4 - A2 &gt; 14)</formula>
    </cfRule>
  </conditionalFormatting>
  <conditionalFormatting sqref="T4">
    <cfRule type="expression" dxfId="940" priority="90" stopIfTrue="1">
      <formula>AND(T4&lt;&gt;"", T4 - A2 &lt;= 14, T4 - A2 &gt; 7)</formula>
    </cfRule>
  </conditionalFormatting>
  <conditionalFormatting sqref="T4">
    <cfRule type="expression" dxfId="939" priority="91" stopIfTrue="1">
      <formula>AND(T4&lt;&gt;"", T4 - A2 &lt;= 7, T4 - A2 &gt; 2)</formula>
    </cfRule>
  </conditionalFormatting>
  <conditionalFormatting sqref="T4">
    <cfRule type="expression" dxfId="938" priority="92" stopIfTrue="1">
      <formula>AND(T4&lt;&gt;"", T4 - A2 &lt;= 2)</formula>
    </cfRule>
  </conditionalFormatting>
  <conditionalFormatting sqref="U4">
    <cfRule type="expression" dxfId="937" priority="93" stopIfTrue="1">
      <formula>AND(U4&lt;&gt;"", U4 - A2 &gt; 14)</formula>
    </cfRule>
  </conditionalFormatting>
  <conditionalFormatting sqref="U4">
    <cfRule type="expression" dxfId="936" priority="94" stopIfTrue="1">
      <formula>AND(U4&lt;&gt;"", U4 - A2 &lt;= 14, U4 - A2 &gt; 7)</formula>
    </cfRule>
  </conditionalFormatting>
  <conditionalFormatting sqref="U4">
    <cfRule type="expression" dxfId="935" priority="95" stopIfTrue="1">
      <formula>AND(U4&lt;&gt;"", U4 - A2 &lt;= 7, U4 - A2 &gt; 2)</formula>
    </cfRule>
  </conditionalFormatting>
  <conditionalFormatting sqref="U4">
    <cfRule type="expression" dxfId="934" priority="96" stopIfTrue="1">
      <formula>AND(U4&lt;&gt;"", U4 - A2 &lt;= 2)</formula>
    </cfRule>
  </conditionalFormatting>
  <conditionalFormatting sqref="J5">
    <cfRule type="expression" dxfId="933" priority="1" stopIfTrue="1">
      <formula>AND(J5&lt;&gt;"", J5 - A2 &gt; 14)</formula>
    </cfRule>
  </conditionalFormatting>
  <conditionalFormatting sqref="J5">
    <cfRule type="expression" dxfId="932" priority="2" stopIfTrue="1">
      <formula>AND(J5&lt;&gt;"", J5 - A2 &lt;= 14, J5 - A2 &gt; 7)</formula>
    </cfRule>
  </conditionalFormatting>
  <conditionalFormatting sqref="J5">
    <cfRule type="expression" dxfId="931" priority="3" stopIfTrue="1">
      <formula>AND(J5&lt;&gt;"", J5 - A2 &lt;= 7, J5 - A2 &gt; 2)</formula>
    </cfRule>
  </conditionalFormatting>
  <conditionalFormatting sqref="J5">
    <cfRule type="expression" dxfId="930" priority="4" stopIfTrue="1">
      <formula>AND(J5&lt;&gt;"", J5 - A2 &lt;= 2)</formula>
    </cfRule>
  </conditionalFormatting>
  <conditionalFormatting sqref="K5">
    <cfRule type="expression" dxfId="929" priority="5" stopIfTrue="1">
      <formula>AND(K5&lt;&gt;"", K5 - A2 &gt; 14)</formula>
    </cfRule>
  </conditionalFormatting>
  <conditionalFormatting sqref="K5">
    <cfRule type="expression" dxfId="928" priority="6" stopIfTrue="1">
      <formula>AND(K5&lt;&gt;"", K5 - A2 &lt;= 14, K5 - A2 &gt; 7)</formula>
    </cfRule>
  </conditionalFormatting>
  <conditionalFormatting sqref="K5">
    <cfRule type="expression" dxfId="927" priority="7" stopIfTrue="1">
      <formula>AND(K5&lt;&gt;"", K5 - A2 &lt;= 7, K5 - A2 &gt; 2)</formula>
    </cfRule>
  </conditionalFormatting>
  <conditionalFormatting sqref="K5">
    <cfRule type="expression" dxfId="926" priority="8" stopIfTrue="1">
      <formula>AND(K5&lt;&gt;"", K5 - A2 &lt;= 2)</formula>
    </cfRule>
  </conditionalFormatting>
  <conditionalFormatting sqref="L5">
    <cfRule type="expression" dxfId="925" priority="9" stopIfTrue="1">
      <formula>AND(L5&lt;&gt;"", L5 - A2 &gt; 14)</formula>
    </cfRule>
  </conditionalFormatting>
  <conditionalFormatting sqref="L5">
    <cfRule type="expression" dxfId="924" priority="10" stopIfTrue="1">
      <formula>AND(L5&lt;&gt;"", L5 - A2 &lt;= 14, L5 - A2 &gt; 7)</formula>
    </cfRule>
  </conditionalFormatting>
  <conditionalFormatting sqref="L5">
    <cfRule type="expression" dxfId="923" priority="11" stopIfTrue="1">
      <formula>AND(L5&lt;&gt;"", L5 - A2 &lt;= 7, L5 - A2 &gt; 2)</formula>
    </cfRule>
  </conditionalFormatting>
  <conditionalFormatting sqref="L5">
    <cfRule type="expression" dxfId="922" priority="12" stopIfTrue="1">
      <formula>AND(L5&lt;&gt;"", L5 - A2 &lt;= 2)</formula>
    </cfRule>
  </conditionalFormatting>
  <conditionalFormatting sqref="M5">
    <cfRule type="expression" dxfId="921" priority="13" stopIfTrue="1">
      <formula>AND(M5&lt;&gt;"", M5 - A2 &gt; 14)</formula>
    </cfRule>
  </conditionalFormatting>
  <conditionalFormatting sqref="M5">
    <cfRule type="expression" dxfId="920" priority="14" stopIfTrue="1">
      <formula>AND(M5&lt;&gt;"", M5 - A2 &lt;= 14, M5 - A2 &gt; 7)</formula>
    </cfRule>
  </conditionalFormatting>
  <conditionalFormatting sqref="M5">
    <cfRule type="expression" dxfId="919" priority="15" stopIfTrue="1">
      <formula>AND(M5&lt;&gt;"", M5 - A2 &lt;= 7, M5 - A2 &gt; 2)</formula>
    </cfRule>
  </conditionalFormatting>
  <conditionalFormatting sqref="M5">
    <cfRule type="expression" dxfId="918" priority="16" stopIfTrue="1">
      <formula>AND(M5&lt;&gt;"", M5 - A2 &lt;= 2)</formula>
    </cfRule>
  </conditionalFormatting>
  <conditionalFormatting sqref="N5">
    <cfRule type="expression" dxfId="917" priority="17" stopIfTrue="1">
      <formula>AND(N5&lt;&gt;"", N5 - A2 &gt; 14)</formula>
    </cfRule>
  </conditionalFormatting>
  <conditionalFormatting sqref="N5">
    <cfRule type="expression" dxfId="916" priority="18" stopIfTrue="1">
      <formula>AND(N5&lt;&gt;"", N5 - A2 &lt;= 14, N5 - A2 &gt; 7)</formula>
    </cfRule>
  </conditionalFormatting>
  <conditionalFormatting sqref="N5">
    <cfRule type="expression" dxfId="915" priority="19" stopIfTrue="1">
      <formula>AND(N5&lt;&gt;"", N5 - A2 &lt;= 7, N5 - A2 &gt; 2)</formula>
    </cfRule>
  </conditionalFormatting>
  <conditionalFormatting sqref="N5">
    <cfRule type="expression" dxfId="914" priority="20" stopIfTrue="1">
      <formula>AND(N5&lt;&gt;"", N5 - A2 &lt;= 2)</formula>
    </cfRule>
  </conditionalFormatting>
  <conditionalFormatting sqref="O5">
    <cfRule type="expression" dxfId="913" priority="21" stopIfTrue="1">
      <formula>AND(O5&lt;&gt;"", O5 - A2 &gt; 14)</formula>
    </cfRule>
  </conditionalFormatting>
  <conditionalFormatting sqref="O5">
    <cfRule type="expression" dxfId="912" priority="22" stopIfTrue="1">
      <formula>AND(O5&lt;&gt;"", O5 - A2 &lt;= 14, O5 - A2 &gt; 7)</formula>
    </cfRule>
  </conditionalFormatting>
  <conditionalFormatting sqref="O5">
    <cfRule type="expression" dxfId="911" priority="23" stopIfTrue="1">
      <formula>AND(O5&lt;&gt;"", O5 - A2 &lt;= 7, O5 - A2 &gt; 2)</formula>
    </cfRule>
  </conditionalFormatting>
  <conditionalFormatting sqref="O5">
    <cfRule type="expression" dxfId="910" priority="24" stopIfTrue="1">
      <formula>AND(O5&lt;&gt;"", O5 - A2 &lt;= 2)</formula>
    </cfRule>
  </conditionalFormatting>
  <conditionalFormatting sqref="P5">
    <cfRule type="expression" dxfId="909" priority="25" stopIfTrue="1">
      <formula>AND(P5&lt;&gt;"", P5 - A2 &gt; 14)</formula>
    </cfRule>
  </conditionalFormatting>
  <conditionalFormatting sqref="P5">
    <cfRule type="expression" dxfId="908" priority="26" stopIfTrue="1">
      <formula>AND(P5&lt;&gt;"", P5 - A2 &lt;= 14, P5 - A2 &gt; 7)</formula>
    </cfRule>
  </conditionalFormatting>
  <conditionalFormatting sqref="P5">
    <cfRule type="expression" dxfId="907" priority="27" stopIfTrue="1">
      <formula>AND(P5&lt;&gt;"", P5 - A2 &lt;= 7, P5 - A2 &gt; 2)</formula>
    </cfRule>
  </conditionalFormatting>
  <conditionalFormatting sqref="P5">
    <cfRule type="expression" dxfId="906" priority="28" stopIfTrue="1">
      <formula>AND(P5&lt;&gt;"", P5 - A2 &lt;= 2)</formula>
    </cfRule>
  </conditionalFormatting>
  <conditionalFormatting sqref="Q5">
    <cfRule type="expression" dxfId="905" priority="29" stopIfTrue="1">
      <formula>AND(Q5&lt;&gt;"", Q5 - A2 &gt; 14)</formula>
    </cfRule>
  </conditionalFormatting>
  <conditionalFormatting sqref="Q5">
    <cfRule type="expression" dxfId="904" priority="30" stopIfTrue="1">
      <formula>AND(Q5&lt;&gt;"", Q5 - A2 &lt;= 14, Q5 - A2 &gt; 7)</formula>
    </cfRule>
  </conditionalFormatting>
  <conditionalFormatting sqref="Q5">
    <cfRule type="expression" dxfId="903" priority="31" stopIfTrue="1">
      <formula>AND(Q5&lt;&gt;"", Q5 - A2 &lt;= 7, Q5 - A2 &gt; 2)</formula>
    </cfRule>
  </conditionalFormatting>
  <conditionalFormatting sqref="Q5">
    <cfRule type="expression" dxfId="902" priority="32" stopIfTrue="1">
      <formula>AND(Q5&lt;&gt;"", Q5 - A2 &lt;= 2)</formula>
    </cfRule>
  </conditionalFormatting>
  <conditionalFormatting sqref="R5">
    <cfRule type="expression" dxfId="901" priority="33" stopIfTrue="1">
      <formula>AND(R5&lt;&gt;"", R5 - A2 &gt; 14)</formula>
    </cfRule>
  </conditionalFormatting>
  <conditionalFormatting sqref="R5">
    <cfRule type="expression" dxfId="900" priority="34" stopIfTrue="1">
      <formula>AND(R5&lt;&gt;"", R5 - A2 &lt;= 14, R5 - A2 &gt; 7)</formula>
    </cfRule>
  </conditionalFormatting>
  <conditionalFormatting sqref="R5">
    <cfRule type="expression" dxfId="899" priority="35" stopIfTrue="1">
      <formula>AND(R5&lt;&gt;"", R5 - A2 &lt;= 7, R5 - A2 &gt; 2)</formula>
    </cfRule>
  </conditionalFormatting>
  <conditionalFormatting sqref="R5">
    <cfRule type="expression" dxfId="898" priority="36" stopIfTrue="1">
      <formula>AND(R5&lt;&gt;"", R5 - A2 &lt;= 2)</formula>
    </cfRule>
  </conditionalFormatting>
  <conditionalFormatting sqref="S5">
    <cfRule type="expression" dxfId="897" priority="37" stopIfTrue="1">
      <formula>AND(S5&lt;&gt;"", S5 - A2 &gt; 14)</formula>
    </cfRule>
  </conditionalFormatting>
  <conditionalFormatting sqref="S5">
    <cfRule type="expression" dxfId="896" priority="38" stopIfTrue="1">
      <formula>AND(S5&lt;&gt;"", S5 - A2 &lt;= 14, S5 - A2 &gt; 7)</formula>
    </cfRule>
  </conditionalFormatting>
  <conditionalFormatting sqref="S5">
    <cfRule type="expression" dxfId="895" priority="39" stopIfTrue="1">
      <formula>AND(S5&lt;&gt;"", S5 - A2 &lt;= 7, S5 - A2 &gt; 2)</formula>
    </cfRule>
  </conditionalFormatting>
  <conditionalFormatting sqref="S5">
    <cfRule type="expression" dxfId="894" priority="40" stopIfTrue="1">
      <formula>AND(S5&lt;&gt;"", S5 - A2 &lt;= 2)</formula>
    </cfRule>
  </conditionalFormatting>
  <conditionalFormatting sqref="T5">
    <cfRule type="expression" dxfId="893" priority="41" stopIfTrue="1">
      <formula>AND(T5&lt;&gt;"", T5 - A2 &gt; 14)</formula>
    </cfRule>
  </conditionalFormatting>
  <conditionalFormatting sqref="T5">
    <cfRule type="expression" dxfId="892" priority="42" stopIfTrue="1">
      <formula>AND(T5&lt;&gt;"", T5 - A2 &lt;= 14, T5 - A2 &gt; 7)</formula>
    </cfRule>
  </conditionalFormatting>
  <conditionalFormatting sqref="T5">
    <cfRule type="expression" dxfId="891" priority="43" stopIfTrue="1">
      <formula>AND(T5&lt;&gt;"", T5 - A2 &lt;= 7, T5 - A2 &gt; 2)</formula>
    </cfRule>
  </conditionalFormatting>
  <conditionalFormatting sqref="T5">
    <cfRule type="expression" dxfId="890" priority="44" stopIfTrue="1">
      <formula>AND(T5&lt;&gt;"", T5 - A2 &lt;= 2)</formula>
    </cfRule>
  </conditionalFormatting>
  <conditionalFormatting sqref="U5">
    <cfRule type="expression" dxfId="889" priority="45" stopIfTrue="1">
      <formula>AND(U5&lt;&gt;"", U5 - A2 &gt; 14)</formula>
    </cfRule>
  </conditionalFormatting>
  <conditionalFormatting sqref="U5">
    <cfRule type="expression" dxfId="888" priority="46" stopIfTrue="1">
      <formula>AND(U5&lt;&gt;"", U5 - A2 &lt;= 14, U5 - A2 &gt; 7)</formula>
    </cfRule>
  </conditionalFormatting>
  <conditionalFormatting sqref="U5">
    <cfRule type="expression" dxfId="887" priority="47" stopIfTrue="1">
      <formula>AND(U5&lt;&gt;"", U5 - A2 &lt;= 7, U5 - A2 &gt; 2)</formula>
    </cfRule>
  </conditionalFormatting>
  <conditionalFormatting sqref="U5">
    <cfRule type="expression" dxfId="886" priority="48" stopIfTrue="1">
      <formula>AND(U5&lt;&gt;"", U5 - A2 &lt;= 2)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5060057E979C541B272B84A7FFCB1C8" ma:contentTypeVersion="13" ma:contentTypeDescription="Create a new document." ma:contentTypeScope="" ma:versionID="a647aa1e541104a12269c1eb5474332f">
  <xsd:schema xmlns:xsd="http://www.w3.org/2001/XMLSchema" xmlns:xs="http://www.w3.org/2001/XMLSchema" xmlns:p="http://schemas.microsoft.com/office/2006/metadata/properties" xmlns:ns2="fdc9e6ab-7c4b-4e6a-bc1d-5c7bf932c03e" xmlns:ns3="d844ee1d-75af-49f6-800a-e7955433c494" targetNamespace="http://schemas.microsoft.com/office/2006/metadata/properties" ma:root="true" ma:fieldsID="3bcb136883933d163459f3fdd94965b3" ns2:_="" ns3:_="">
    <xsd:import namespace="fdc9e6ab-7c4b-4e6a-bc1d-5c7bf932c03e"/>
    <xsd:import namespace="d844ee1d-75af-49f6-800a-e7955433c49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c9e6ab-7c4b-4e6a-bc1d-5c7bf932c0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77ad4b4-66bd-420a-861f-1f8b183f727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44ee1d-75af-49f6-800a-e7955433c494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c9e6ab-7c4b-4e6a-bc1d-5c7bf932c03e">
      <Terms xmlns="http://schemas.microsoft.com/office/infopath/2007/PartnerControls"/>
    </lcf76f155ced4ddcb4097134ff3c332f>
  </documentManagement>
</p:properties>
</file>

<file path=customXml/item4.xml>�� 
</file>

<file path=customXml/itemProps1.xml><?xml version="1.0" encoding="utf-8"?>
<ds:datastoreItem xmlns:ds="http://schemas.openxmlformats.org/officeDocument/2006/customXml" ds:itemID="{B4818739-5FE6-48F5-B786-BF8F1737766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6DDC05-A937-42AB-90E8-3F60613C0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c9e6ab-7c4b-4e6a-bc1d-5c7bf932c03e"/>
    <ds:schemaRef ds:uri="d844ee1d-75af-49f6-800a-e7955433c49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4F34FB-A2B1-4DFB-993E-30CFF2ED27B2}">
  <ds:schemaRefs>
    <ds:schemaRef ds:uri="http://schemas.microsoft.com/office/2006/metadata/properties"/>
    <ds:schemaRef ds:uri="http://schemas.microsoft.com/office/infopath/2007/PartnerControls"/>
    <ds:schemaRef ds:uri="fdc9e6ab-7c4b-4e6a-bc1d-5c7bf932c03e"/>
  </ds:schemaRefs>
</ds:datastoreItem>
</file>

<file path=customXml/itemProps4.xml><?xml version="1.0" encoding="utf-8"?>
<ds:datastoreItem xmlns:ds="http://schemas.openxmlformats.org/officeDocument/2006/customXml" ds:itemID="{B061970A-C914-44DC-ADD7-068802F3F3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Schedule</vt:lpstr>
      <vt:lpstr>Opportunity</vt:lpstr>
      <vt:lpstr>Completed_Projects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Aragon, Timothy</dc:creator>
  <cp:lastModifiedBy>Aragon, Timothy</cp:lastModifiedBy>
  <dcterms:created xsi:type="dcterms:W3CDTF">2024-04-02T15:27:11Z</dcterms:created>
  <dcterms:modified xsi:type="dcterms:W3CDTF">2024-05-17T23:09:40Z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0x01010025060057E979C541B272B84A7FFCB1C8</vt:lpwstr>
  </property>
  <property fmtid="{D5CDD505-2E9C-101B-9397-08002B2CF9AE}" pid="3" name="MediaServiceImageTags">
    <vt:lpwstr/>
  </property>
</Properties>
</file>