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gtechcorp.sharepoint.com/sites/GlobalManagedServices-TournamentManager/Shared Documents/Tournament Manager/TRM_Projects/"/>
    </mc:Choice>
  </mc:AlternateContent>
  <xr:revisionPtr revIDLastSave="13" documentId="13_ncr:1_{71432155-4CDB-4B28-844E-29AAAF9B0948}" xr6:coauthVersionLast="47" xr6:coauthVersionMax="47" xr10:uidLastSave="{C24E2EBD-CF24-444B-9AC0-C30038D8A9BD}"/>
  <bookViews>
    <workbookView xWindow="-120" yWindow="-120" windowWidth="29040" windowHeight="15720" tabRatio="857" xr2:uid="{972B31C1-2E61-48AA-B242-749D4A6ACE30}"/>
  </bookViews>
  <sheets>
    <sheet name="Welcome" sheetId="1" r:id="rId1"/>
    <sheet name="Problem Records" sheetId="24" r:id="rId2"/>
    <sheet name="Ticket" sheetId="40" r:id="rId3"/>
    <sheet name="Problem" sheetId="39" r:id="rId4"/>
    <sheet name="Account" sheetId="36" r:id="rId5"/>
    <sheet name="Opportunity" sheetId="35" r:id="rId6"/>
    <sheet name="IGT Solution Stack" sheetId="44" r:id="rId7"/>
    <sheet name="Change Request" sheetId="29" r:id="rId8"/>
  </sheets>
  <functionGroups builtInGroupCount="19"/>
  <definedNames>
    <definedName name="CR_ID">ChangeRequest[Id]</definedName>
    <definedName name="CR_NAME">ChangeRequest[Name]</definedName>
    <definedName name="CustFilter">Opportunity[Customer_Number__c]</definedName>
    <definedName name="ExternalData_1" localSheetId="7" hidden="1">'Change Request'!$A$1:$M$2</definedName>
    <definedName name="ExternalData_1" localSheetId="2">Ticket!$A$1</definedName>
    <definedName name="ExternalData_2" localSheetId="5" hidden="1">Opportunity!$A$1:$U$2</definedName>
    <definedName name="ExternalData_2" localSheetId="3" hidden="1">Problem!$A$1:$J$30</definedName>
    <definedName name="ExternalData_3" localSheetId="4" hidden="1">Account!$A$1:$O$2</definedName>
    <definedName name="ExternalData_3" localSheetId="6" hidden="1">'IGT Solution Stack'!$A$1:$X$2</definedName>
    <definedName name="FilterValue">Welcome!$B$5</definedName>
    <definedName name="FromArray_1">_xlfn.ANCHORARRAY('Problem Records'!#REF!)</definedName>
    <definedName name="OppFilter">ChangeRequest[Opportunity_Number__c]</definedName>
    <definedName name="OppValue">Welcome!$D$5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4" i="1" l="1" a="1"/>
  <c r="I24" i="1" s="1"/>
  <c r="B7" i="1"/>
  <c r="A1" i="1" s="1"/>
  <c r="I12" i="1" a="1"/>
  <c r="I12" i="1" s="1"/>
  <c r="B18" i="1" a="1"/>
  <c r="B18" i="1" s="1"/>
  <c r="B17" i="1" a="1"/>
  <c r="B17" i="1" s="1"/>
  <c r="B16" i="1" a="1"/>
  <c r="B16" i="1" s="1"/>
  <c r="B5" i="1" a="1"/>
  <c r="B5" i="1" s="1"/>
  <c r="F12" i="1" a="1"/>
  <c r="F12" i="1" s="1"/>
  <c r="B28" i="1" a="1"/>
  <c r="B28" i="1" s="1"/>
  <c r="D9" i="24" a="1"/>
  <c r="D9" i="24" s="1"/>
  <c r="D10" i="24" a="1"/>
  <c r="D10" i="24" s="1"/>
  <c r="D11" i="24" a="1"/>
  <c r="D11" i="24" s="1"/>
  <c r="D12" i="24" a="1"/>
  <c r="D12" i="24" s="1"/>
  <c r="D13" i="24" a="1"/>
  <c r="D13" i="24" s="1"/>
  <c r="D14" i="24" a="1"/>
  <c r="D14" i="24" s="1"/>
  <c r="D15" i="24" a="1"/>
  <c r="D15" i="24" s="1"/>
  <c r="D16" i="24" a="1"/>
  <c r="D16" i="24" s="1"/>
  <c r="D17" i="24" a="1"/>
  <c r="D17" i="24" s="1"/>
  <c r="D18" i="24" a="1"/>
  <c r="D18" i="24" s="1"/>
  <c r="D19" i="24" a="1"/>
  <c r="D19" i="24" s="1"/>
  <c r="D20" i="24" a="1"/>
  <c r="D20" i="24" s="1"/>
  <c r="D21" i="24" a="1"/>
  <c r="D21" i="24" s="1"/>
  <c r="D22" i="24" a="1"/>
  <c r="D22" i="24" s="1"/>
  <c r="D23" i="24" a="1"/>
  <c r="D23" i="24" s="1"/>
  <c r="D24" i="24" a="1"/>
  <c r="D24" i="24" s="1"/>
  <c r="D25" i="24" a="1"/>
  <c r="D25" i="24" s="1"/>
  <c r="D26" i="24" a="1"/>
  <c r="D26" i="24" s="1"/>
  <c r="D27" i="24" a="1"/>
  <c r="D27" i="24" s="1"/>
  <c r="D28" i="24" a="1"/>
  <c r="D28" i="24" s="1"/>
  <c r="D29" i="24" a="1"/>
  <c r="D29" i="24" s="1"/>
  <c r="D30" i="24" a="1"/>
  <c r="D30" i="24" s="1"/>
  <c r="D31" i="24" a="1"/>
  <c r="D31" i="24" s="1"/>
  <c r="D32" i="24" a="1"/>
  <c r="D32" i="24" s="1"/>
  <c r="D33" i="24" a="1"/>
  <c r="D33" i="24" s="1"/>
  <c r="D34" i="24" a="1"/>
  <c r="D34" i="24" s="1"/>
  <c r="D35" i="24" a="1"/>
  <c r="D35" i="24" s="1"/>
  <c r="D8" i="24" a="1"/>
  <c r="D8" i="24" s="1"/>
  <c r="D7" i="24" a="1"/>
  <c r="D7" i="24" s="1"/>
  <c r="D6" i="24" a="1"/>
  <c r="D6" i="24" s="1"/>
  <c r="C9" i="24" a="1"/>
  <c r="C9" i="24" s="1"/>
  <c r="C10" i="24" a="1"/>
  <c r="C10" i="24" s="1"/>
  <c r="C11" i="24" a="1"/>
  <c r="C11" i="24" s="1"/>
  <c r="C12" i="24" a="1"/>
  <c r="C12" i="24" s="1"/>
  <c r="C13" i="24" a="1"/>
  <c r="C13" i="24" s="1"/>
  <c r="C14" i="24" a="1"/>
  <c r="C14" i="24" s="1"/>
  <c r="C15" i="24" a="1"/>
  <c r="C15" i="24" s="1"/>
  <c r="C16" i="24" a="1"/>
  <c r="C16" i="24" s="1"/>
  <c r="C17" i="24" a="1"/>
  <c r="C17" i="24" s="1"/>
  <c r="C18" i="24" a="1"/>
  <c r="C18" i="24" s="1"/>
  <c r="C19" i="24" a="1"/>
  <c r="C19" i="24" s="1"/>
  <c r="C20" i="24" a="1"/>
  <c r="C20" i="24" s="1"/>
  <c r="C21" i="24" a="1"/>
  <c r="C21" i="24" s="1"/>
  <c r="C22" i="24" a="1"/>
  <c r="C22" i="24" s="1"/>
  <c r="C23" i="24" a="1"/>
  <c r="C23" i="24" s="1"/>
  <c r="C24" i="24" a="1"/>
  <c r="C24" i="24" s="1"/>
  <c r="C25" i="24" a="1"/>
  <c r="C25" i="24" s="1"/>
  <c r="C26" i="24" a="1"/>
  <c r="C26" i="24" s="1"/>
  <c r="C27" i="24" a="1"/>
  <c r="C27" i="24" s="1"/>
  <c r="C28" i="24" a="1"/>
  <c r="C28" i="24" s="1"/>
  <c r="C29" i="24" a="1"/>
  <c r="C29" i="24" s="1"/>
  <c r="C30" i="24" a="1"/>
  <c r="C30" i="24" s="1"/>
  <c r="C31" i="24" a="1"/>
  <c r="C31" i="24" s="1"/>
  <c r="C32" i="24" a="1"/>
  <c r="C32" i="24" s="1"/>
  <c r="C33" i="24" a="1"/>
  <c r="C33" i="24" s="1"/>
  <c r="C34" i="24" a="1"/>
  <c r="C34" i="24" s="1"/>
  <c r="C35" i="24" a="1"/>
  <c r="C35" i="24" s="1"/>
  <c r="C8" i="24" a="1"/>
  <c r="C8" i="24" s="1"/>
  <c r="C7" i="24" a="1"/>
  <c r="C7" i="24" s="1"/>
  <c r="C6" i="24" a="1"/>
  <c r="C6" i="24" s="1"/>
  <c r="A35" i="24" a="1"/>
  <c r="A35" i="24" s="1"/>
  <c r="A33" i="24" a="1"/>
  <c r="A33" i="24" s="1"/>
  <c r="A34" i="24" a="1"/>
  <c r="A34" i="24" s="1"/>
  <c r="A32" i="24" a="1"/>
  <c r="A32" i="24" s="1"/>
  <c r="A31" i="24" a="1"/>
  <c r="A31" i="24" s="1"/>
  <c r="A30" i="24" a="1"/>
  <c r="A30" i="24" s="1"/>
  <c r="A29" i="24" a="1"/>
  <c r="A29" i="24" s="1"/>
  <c r="A28" i="24" a="1"/>
  <c r="A28" i="24" s="1"/>
  <c r="A27" i="24" a="1"/>
  <c r="A27" i="24" s="1"/>
  <c r="A26" i="24" a="1"/>
  <c r="A26" i="24" s="1"/>
  <c r="A25" i="24" a="1"/>
  <c r="A25" i="24" s="1"/>
  <c r="A24" i="24" a="1"/>
  <c r="A24" i="24" s="1"/>
  <c r="A23" i="24" a="1"/>
  <c r="A23" i="24" s="1"/>
  <c r="A22" i="24" a="1"/>
  <c r="A22" i="24" s="1"/>
  <c r="A21" i="24" a="1"/>
  <c r="A21" i="24" s="1"/>
  <c r="A20" i="24" a="1"/>
  <c r="A20" i="24" s="1"/>
  <c r="A19" i="24" a="1"/>
  <c r="A19" i="24" s="1"/>
  <c r="A18" i="24" a="1"/>
  <c r="A18" i="24" s="1"/>
  <c r="A17" i="24" a="1"/>
  <c r="A17" i="24" s="1"/>
  <c r="A16" i="24" a="1"/>
  <c r="A16" i="24" s="1"/>
  <c r="A15" i="24" a="1"/>
  <c r="A15" i="24" s="1"/>
  <c r="A14" i="24" a="1"/>
  <c r="A14" i="24" s="1"/>
  <c r="A13" i="24" a="1"/>
  <c r="A13" i="24" s="1"/>
  <c r="A12" i="24" a="1"/>
  <c r="A12" i="24" s="1"/>
  <c r="A11" i="24" a="1"/>
  <c r="A11" i="24" s="1"/>
  <c r="A10" i="24" a="1"/>
  <c r="A10" i="24" s="1"/>
  <c r="A9" i="24" a="1"/>
  <c r="A9" i="24" s="1"/>
  <c r="A8" i="24" a="1"/>
  <c r="A8" i="24" s="1"/>
  <c r="A7" i="24" a="1"/>
  <c r="A7" i="24" s="1"/>
  <c r="A6" i="24" a="1"/>
  <c r="A6" i="24" s="1"/>
  <c r="B35" i="24" a="1"/>
  <c r="B35" i="24" s="1"/>
  <c r="B34" i="24" a="1"/>
  <c r="B34" i="24" s="1"/>
  <c r="B33" i="24" a="1"/>
  <c r="B33" i="24" s="1"/>
  <c r="B32" i="24" a="1"/>
  <c r="B32" i="24" s="1"/>
  <c r="B31" i="24" a="1"/>
  <c r="B31" i="24" s="1"/>
  <c r="B30" i="24" a="1"/>
  <c r="B30" i="24" s="1"/>
  <c r="B29" i="24" a="1"/>
  <c r="B29" i="24" s="1"/>
  <c r="B28" i="24" a="1"/>
  <c r="B28" i="24" s="1"/>
  <c r="B27" i="24" a="1"/>
  <c r="B27" i="24" s="1"/>
  <c r="B26" i="24" a="1"/>
  <c r="B26" i="24" s="1"/>
  <c r="B25" i="24" a="1"/>
  <c r="B25" i="24" s="1"/>
  <c r="B24" i="24" a="1"/>
  <c r="B24" i="24" s="1"/>
  <c r="B23" i="24" a="1"/>
  <c r="B23" i="24" s="1"/>
  <c r="B22" i="24" a="1"/>
  <c r="B22" i="24" s="1"/>
  <c r="B21" i="24" a="1"/>
  <c r="B21" i="24" s="1"/>
  <c r="B20" i="24" a="1"/>
  <c r="B20" i="24" s="1"/>
  <c r="B19" i="24" a="1"/>
  <c r="B19" i="24" s="1"/>
  <c r="B18" i="24" a="1"/>
  <c r="B18" i="24" s="1"/>
  <c r="B17" i="24" a="1"/>
  <c r="B17" i="24" s="1"/>
  <c r="B16" i="24" a="1"/>
  <c r="B16" i="24" s="1"/>
  <c r="B15" i="24" a="1"/>
  <c r="B15" i="24" s="1"/>
  <c r="B14" i="24" a="1"/>
  <c r="B14" i="24" s="1"/>
  <c r="B13" i="24" a="1"/>
  <c r="B13" i="24" s="1"/>
  <c r="B12" i="24" a="1"/>
  <c r="B12" i="24" s="1"/>
  <c r="B11" i="24" a="1"/>
  <c r="B11" i="24" s="1"/>
  <c r="B10" i="24" a="1"/>
  <c r="B10" i="24" s="1"/>
  <c r="B9" i="24" a="1"/>
  <c r="B9" i="24" s="1"/>
  <c r="B8" i="24" a="1"/>
  <c r="B8" i="24" s="1"/>
  <c r="B7" i="24" a="1"/>
  <c r="B7" i="24" s="1"/>
  <c r="B6" i="24" a="1"/>
  <c r="B6" i="24" s="1"/>
  <c r="G15" i="1"/>
  <c r="B14" i="1"/>
  <c r="B13" i="1"/>
  <c r="B12" i="1"/>
  <c r="B11" i="1"/>
  <c r="A1" i="2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B98C3BC-383D-44C7-BC5B-3AEC8D11138A}" keepAlive="1" name="Query - Account" description="Connection to the 'Account' query in the workbook." type="5" refreshedVersion="8" background="1" saveData="1">
    <dbPr connection="Provider=Microsoft.Mashup.OleDb.1;Data Source=$Workbook$;Location=Account;Extended Properties=&quot;&quot;" command="SELECT * FROM [Account]"/>
  </connection>
  <connection id="2" xr16:uid="{760D11DC-B076-4731-A7B5-278864127DC9}" keepAlive="1" name="Query - ChangeRequest" description="Connection to the 'ChangeRequest' query in the workbook." type="5" refreshedVersion="8" background="1" saveData="1">
    <dbPr connection="Provider=Microsoft.Mashup.OleDb.1;Data Source=$Workbook$;Location=ChangeRequest;Extended Properties=&quot;&quot;" command="SELECT * FROM [ChangeRequest]"/>
  </connection>
  <connection id="3" xr16:uid="{5E16B802-CF3D-4634-A9E9-3503689C33DF}" keepAlive="1" name="Query - IGT Solution Stack" description="Connection to the 'IGT Solution Stack' query in the workbook." type="5" refreshedVersion="8" background="1" saveData="1">
    <dbPr connection="Provider=Microsoft.Mashup.OleDb.1;Data Source=$Workbook$;Location=&quot;IGT Solution Stack&quot;;Extended Properties=&quot;&quot;" command="SELECT * FROM [IGT Solution Stack]"/>
  </connection>
  <connection id="4" xr16:uid="{8A13B5B4-2CD4-4B2C-849E-FA8D527E3E74}" keepAlive="1" name="Query - Opportunity" description="Connection to the 'Opportunity' query in the workbook." type="5" refreshedVersion="8" background="1" saveData="1">
    <dbPr connection="Provider=Microsoft.Mashup.OleDb.1;Data Source=$Workbook$;Location=Opportunity;Extended Properties=&quot;&quot;" command="SELECT * FROM [Opportunity]"/>
  </connection>
  <connection id="5" xr16:uid="{456AB8ED-5503-42BD-AC19-7F2EDF4AA438}" keepAlive="1" name="Query - Problem" description="Connection to the 'Problem' query in the workbook." type="5" refreshedVersion="8" background="1" saveData="1">
    <dbPr connection="Provider=Microsoft.Mashup.OleDb.1;Data Source=$Workbook$;Location=Problem;Extended Properties=&quot;&quot;" command="SELECT * FROM [Problem]"/>
  </connection>
  <connection id="6" xr16:uid="{E9C2BCD4-0848-4F3B-B166-D0545BC1A543}" keepAlive="1" name="Query - Ticket" description="Connection to the 'Ticket' query in the workbook." type="5" refreshedVersion="0" background="1" saveData="1">
    <dbPr connection="Provider=Microsoft.Mashup.OleDb.1;Data Source=$Workbook$;Location=Ticket;Extended Properties=&quot;&quot;" command="SELECT * FROM [Ticke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<sst xmlns="http://schemas.openxmlformats.org/spreadsheetml/2006/main" count="465" uniqueCount="319">
  <si>
    <t>Project Identification</t>
  </si>
  <si>
    <t>TRM Version -</t>
  </si>
  <si>
    <t>Floor Manager Property -</t>
  </si>
  <si>
    <t>No</t>
  </si>
  <si>
    <t>Property Host System -</t>
  </si>
  <si>
    <t>Licensing Requirements -</t>
  </si>
  <si>
    <t>GCM Server Addition -</t>
  </si>
  <si>
    <t>Sign Package -</t>
  </si>
  <si>
    <t>Yes</t>
  </si>
  <si>
    <t>Property Location -</t>
  </si>
  <si>
    <t>Number Of Machines -</t>
  </si>
  <si>
    <t>Street:</t>
  </si>
  <si>
    <t>Domain:</t>
  </si>
  <si>
    <t>City:</t>
  </si>
  <si>
    <t>State:</t>
  </si>
  <si>
    <t>Site Type:</t>
  </si>
  <si>
    <t>Single-Site</t>
  </si>
  <si>
    <t>Zip:</t>
  </si>
  <si>
    <t>Kiosk Included?</t>
  </si>
  <si>
    <t>Scope</t>
  </si>
  <si>
    <t>Project Type  -</t>
  </si>
  <si>
    <t>SE:</t>
  </si>
  <si>
    <t>Class</t>
  </si>
  <si>
    <t>PM:</t>
  </si>
  <si>
    <t>Stepper / Vid</t>
  </si>
  <si>
    <t>PSC:</t>
  </si>
  <si>
    <t>Property Contact</t>
  </si>
  <si>
    <t>Advantage</t>
  </si>
  <si>
    <t>Class II</t>
  </si>
  <si>
    <t>Reel</t>
  </si>
  <si>
    <t>Stepper</t>
  </si>
  <si>
    <t>ACSC</t>
  </si>
  <si>
    <t>Multi-Site</t>
  </si>
  <si>
    <t>Class III</t>
  </si>
  <si>
    <t>Video</t>
  </si>
  <si>
    <t>Crystal Curve</t>
  </si>
  <si>
    <t>Oasis</t>
  </si>
  <si>
    <t>Crystal Dual</t>
  </si>
  <si>
    <t>SDS</t>
  </si>
  <si>
    <t>Crystal Slant</t>
  </si>
  <si>
    <t>Konami</t>
  </si>
  <si>
    <t>Pre-project Notes</t>
  </si>
  <si>
    <t>Axxis 23/23</t>
  </si>
  <si>
    <t>Cabinet Type</t>
  </si>
  <si>
    <t>Quasar</t>
  </si>
  <si>
    <t>Systems Account</t>
  </si>
  <si>
    <t>Crystal Core</t>
  </si>
  <si>
    <t>Solution Stack info</t>
  </si>
  <si>
    <t>Crystal Dual 23</t>
  </si>
  <si>
    <t>Jurisdiction Code</t>
  </si>
  <si>
    <t>Crystal Dual 27</t>
  </si>
  <si>
    <t>Crystal Dual Plus Stepper / Crystal WOF</t>
  </si>
  <si>
    <t>Crystal Dual I (Australia)</t>
  </si>
  <si>
    <t>Crystal Dual 27 I (Australia)</t>
  </si>
  <si>
    <t>Crystal Curve I (Australia)</t>
  </si>
  <si>
    <t>Crystal Curve Ultra</t>
  </si>
  <si>
    <t>Crystal Curve True 4D</t>
  </si>
  <si>
    <t>Crystal Slant Poker (AVP Poker)</t>
  </si>
  <si>
    <t>Crystal Betting Terminal</t>
  </si>
  <si>
    <t>Crystal Slant I (Australia)</t>
  </si>
  <si>
    <t>S3000</t>
  </si>
  <si>
    <t>S3000 XL</t>
  </si>
  <si>
    <t>S3000 XL Poker</t>
  </si>
  <si>
    <t>Mega Tower</t>
  </si>
  <si>
    <t>Mega Tower TPIR</t>
  </si>
  <si>
    <t>Cobalt 23/27</t>
  </si>
  <si>
    <t>Cobalt 23 Poker</t>
  </si>
  <si>
    <t>Cobalt Curve</t>
  </si>
  <si>
    <t>Dynasty Widescreen</t>
  </si>
  <si>
    <t>Dynasty View</t>
  </si>
  <si>
    <t>Peak Slant 49"</t>
  </si>
  <si>
    <t>Peak Slant 49" WOF</t>
  </si>
  <si>
    <t>Peak Slant 32"</t>
  </si>
  <si>
    <t>Crystal Curve Refresh</t>
  </si>
  <si>
    <t>Peak Bar Top / Dynasty Peak</t>
  </si>
  <si>
    <t>Peak Curve</t>
  </si>
  <si>
    <t>Peak Dual</t>
  </si>
  <si>
    <t>Diamond RS / Diamond RS Premium / DRS WOF</t>
  </si>
  <si>
    <t>Peak 65</t>
  </si>
  <si>
    <t>SkyRise</t>
  </si>
  <si>
    <t>Rise55</t>
  </si>
  <si>
    <t>Rise32</t>
  </si>
  <si>
    <t>WOF Trio</t>
  </si>
  <si>
    <t>Sierra27</t>
  </si>
  <si>
    <t>Problem Records</t>
  </si>
  <si>
    <t>Problem #</t>
  </si>
  <si>
    <t>Version</t>
  </si>
  <si>
    <t>Subject</t>
  </si>
  <si>
    <t>Delivery Notes</t>
  </si>
  <si>
    <t>ExternalData_1</t>
  </si>
  <si>
    <t>Name</t>
  </si>
  <si>
    <t>Details__c</t>
  </si>
  <si>
    <t>Product__c</t>
  </si>
  <si>
    <t>Status__c</t>
  </si>
  <si>
    <t>Subject__c</t>
  </si>
  <si>
    <t>System__c</t>
  </si>
  <si>
    <t>Fixed_in_Versions__c</t>
  </si>
  <si>
    <t>Jira_URL__c</t>
  </si>
  <si>
    <t>Product_Build__c</t>
  </si>
  <si>
    <t>Delivery_Notes__c</t>
  </si>
  <si>
    <t>P-00005867</t>
  </si>
  <si>
    <t>Found during install of TRM 5.2 HF2 at Tachi Palace. Tested and the issue is also found in 5.2 HF1 - however, it does work as it is supposed to in 5.1. 
In the Admin tab &gt; Settings &gt; Tournament Defaults, changing the configuration of the Duration does not work. Default config. is 3, changed to 2 and saved. Went to create a tournament and the default Duration is 3.
Steps to Reproduce
In the Admin tab &gt; Settings &gt; Tournament Defaults, change the Duration configuration from 3 to 2 and save.
Go to the Tournament Tab &gt; Create a Tournament and in the Machine Details section you will see the Duration default is still 3 not 2.</t>
  </si>
  <si>
    <t>a97140000008PSBAA2</t>
  </si>
  <si>
    <t>Development</t>
  </si>
  <si>
    <t>Default Settings - Duration</t>
  </si>
  <si>
    <t>a9C14000000CaRfEAK</t>
  </si>
  <si>
    <t>&lt;a href="https://igt-casinosystems.atlassian.net/browse/TRM-4479" target="_blank"&gt;TRM-4479&lt;/a&gt;</t>
  </si>
  <si>
    <t>a961O0000000nSQQAY</t>
  </si>
  <si>
    <t>Manually change the Duration Setting in the drop down box.</t>
  </si>
  <si>
    <t>5.2 HF2</t>
  </si>
  <si>
    <t>P-00006456</t>
  </si>
  <si>
    <t>Problem: Property has two types of cards. One with  a 6 digit player ID, the other has 7 digits. When the 6 digit cards are swiped,  the swipe is processed twice and produces 2 registrations so 2 ballots are being printed for one card swipe. 
Steps to Reproduce
Property sent cards of players for Players getting only one ballot and who were getting two ballots.
One card swipe has 6 digits for the PlayerID with a space between the last digit and the ?.
Example:
%00000151157(space)? 010165130900015254?</t>
  </si>
  <si>
    <t>a97140000008PTYAA2</t>
  </si>
  <si>
    <t>Two ballots printing with one Card Swipe at the kiosk.</t>
  </si>
  <si>
    <t>[TRM 6.X]</t>
  </si>
  <si>
    <t>&lt;a href="https://igt-casinosystems.atlassian.net/browse/TRM-5183" target="_blank"&gt;TRM-5183&lt;/a&gt;</t>
  </si>
  <si>
    <t>Affects sites with multiple # Character count for player IDs.  WA-7986 includes update in Settings and javascript file to correct.</t>
  </si>
  <si>
    <t>a96140000008u7hAAA</t>
  </si>
  <si>
    <t>4.0 HF1</t>
  </si>
  <si>
    <t>P-00006781</t>
  </si>
  <si>
    <t>Apache Gold is on 4.0 HF1
'Normal' User created an Aggregate Tournament. When that user goes to Tournament &gt; View Tournaments, and clicks on Aggregate, they user receives the Unauthorized Access message. 
The Property changed the Menu Permission for Tournament &gt; Create Tournament, from Tournament Administrator to Normal. 
When the Create Tournament permission is changed from Tournament Administrator to Normal using Admin -&gt; Menu Security , in the STMS_IGT DB, the Page_Security table does not update SessionRounds to the correct Security number. It stays on the default Security number of 3 = Tournament Administrator. 
Steps to Reproduce
In the Application go to the Admin Tab &gt; Security &gt; Menu Permissions
Step 1 = Choose Tournament
Step 2 = Change Create Tournament radial from Tournament Administrator to Normal User.
Using a User with NORMAL group access...
Create an Aggregate Tournament.
Once Saved, from the View Tournament Page click on Aggregate.
The Unauthorized Access message will appear.</t>
  </si>
  <si>
    <t>Create Tournament Menu Permission Change</t>
  </si>
  <si>
    <t>&lt;a href="https://igt-casinosystems.atlassian.net/browse/TRM-5379" target="_blank"&gt;TRM-5379&lt;/a&gt;</t>
  </si>
  <si>
    <t>WA-8163 available to to correct</t>
  </si>
  <si>
    <t>a96140000008ufmAAA</t>
  </si>
  <si>
    <t>3.0</t>
  </si>
  <si>
    <t>P-00006798</t>
  </si>
  <si>
    <t>A customer identified a security vulnerability during a Penetration Test on Tournament Manager Web UI where the filebrowser.aspx page can be accessible by anyone and anywhere on the network who is able to reach the TRM server. E.g. browsing to http://trmipaddress/filebrowser.aspx.  Once accessed, the user/attacker can upload/open/delete a file without logging in through the loginpage. This was found in V3.0 but also evident in 6.1 .
If you hit other pages like http://trmipaddress/about.aspx, there is some logic that redirects you back to the TRM login page if the user has not logged in. I suggest the filebrowser.aspx page should also have this same logic implemented.
So far, my current workaround is to put a http redirect specifically on the filebrowser file through IIS back to the homepage. I don’t know if this will affect any other functionality or If there is a better way (either through IIS level security/permissions etc) to implement a workaround, please let me know.
Steps to Reproduce
access http://trmipaddress/filebrowser.aspx and file upload UI will be accessible</t>
  </si>
  <si>
    <t>filebrowser.aspx Security Vulnerability</t>
  </si>
  <si>
    <t>&lt;a href="https://igt-casinosystems.atlassian.net/browse/TRM-5377" target="_blank"&gt;TRM-5377&lt;/a&gt;</t>
  </si>
  <si>
    <t>Can recommend: my current workaround is to put a http redirect specifically on the filebrowser file through IIS back to the homepage.</t>
  </si>
  <si>
    <t>a961O000000PzcpQAC</t>
  </si>
  <si>
    <t>6.2</t>
  </si>
  <si>
    <t>P-00007156</t>
  </si>
  <si>
    <t>Property uses a Kiosk for Tournament Registration.
Player has an issue during their session and needs to replay the session. Player has reached their registration Limit.
User goes into the Tournament Manager web application and tries to give the player a Bonus Registration.
The error is in the attached document
 </t>
  </si>
  <si>
    <t>Walkup Bonus Registration error</t>
  </si>
  <si>
    <t>&lt;a href="https://igt-casinosystems.atlassian.net/browse/TRM-5393" target="_blank"&gt;TRM-5393&lt;/a&gt;</t>
  </si>
  <si>
    <t>Register patron via bonus registration</t>
  </si>
  <si>
    <t>a961O000000L4UMQA0</t>
  </si>
  <si>
    <t>6.0 HF1</t>
  </si>
  <si>
    <t>P-00007349</t>
  </si>
  <si>
    <t>This affects all Tournament versions. At the end of 2020, Adobe Flash will no longer be supported._x000D_
_x000D_
Therefore any animated SWF files for either the Leaderboard, Kiosk, or Video Displays will no longer work.</t>
  </si>
  <si>
    <t>New</t>
  </si>
  <si>
    <t>Adobe Flash for Tournament Leaderboard, Kiosk &amp; Video Displays</t>
  </si>
  <si>
    <t>&lt;a href="https://igt-casinosystems.atlassian.net/browse/" target="_blank"&gt; &lt;/a&gt;</t>
  </si>
  <si>
    <t>Adobe Flash no longer supported, SWF files will not work.  WA-8479 has additional information for header to be set to 0.</t>
  </si>
  <si>
    <t>a965Y000000MJ5cQAG</t>
  </si>
  <si>
    <t>6.3</t>
  </si>
  <si>
    <t>P-00007538</t>
  </si>
  <si>
    <t>SpinSplosion Game020001EZEB03 - walkup tournament_x000D_
_x000D_
Proper Behavior: At the end of a session the player's score will roll up to display the final score and rank, then the overall ranking page. _x000D_
_x000D_
Defect Behavior: The score roll-up page does not complete, the rank does not show, the overall ranking page will not be displayed, and when the welcome screen is shown, the score rollup music is still playing.</t>
  </si>
  <si>
    <t>a97140000008PRiAAM</t>
  </si>
  <si>
    <t>SpinSplosion Game020001EZEB03 Walkup Tournament</t>
  </si>
  <si>
    <t>Only relevant to sites with SpinSplosion.  WA-8544 available.</t>
  </si>
  <si>
    <t>P-00007543</t>
  </si>
  <si>
    <t>In the TRM application &gt; Admin tab &gt; Security &gt; Menu Permissions &gt; Tournament &gt; View Staged. _x000D_
_x000D_
The radial button for View Staged is set to Tournament Administrator and above. _x000D_
_x000D_
When the user with the Tournament Admin User Group goes to the Staging page, has the ability to Enable/Disable TRM Mode for all EGMs or Individually. _x000D_
_x000D_
However, when that same user goes to Real Time tab &gt; Machine Status &gt; View for an EGM, the Enable/Disable TRM mode buttons are not visible. _x000D_
_x000D_
Customer's expectation is if they have permission on the Staging Page, they should have the permission to do it on the Machine Status page. _x000D_
_x000D_
Currently, it is hardcoded that only the Remote EGM Configuration user can see the Enable/Disable TRM mode buttons on the Machine Status page.</t>
  </si>
  <si>
    <t>Machine Status Enable/Disable Tournament Mode</t>
  </si>
  <si>
    <t>Machine Status, via Real Time Menu is greyed out for users.  Must be part of Remote EGM Configuration group OR use Machine Status thru Tournament/View Tournament/Stage</t>
  </si>
  <si>
    <t>P-00007600</t>
  </si>
  <si>
    <t>Website checks AD for the existence of a user when deactivating - user is already deleted from AD</t>
  </si>
  <si>
    <t>&lt;a href="https://igt-casinosystems.atlassian.net/browse/TRM-5593" target="_blank"&gt;TRM-5593&lt;/a&gt;</t>
  </si>
  <si>
    <t>Advise IT to deactivate user in TrM prior to deactivating in AD.</t>
  </si>
  <si>
    <t>P-00007682</t>
  </si>
  <si>
    <t>In the TRM application &gt; Manage Tab &gt; Prizing, when trying to finalize a qualifying phase with wildcards, the following error message appears:_x000D_
_x000D_
"Qualification remaining - could not complete wildcard qualification. Qualification will be completed when all related sessions are voided or finalized."_x000D_
_x000D_
The tournament was created with X amount of qualifiers based on tournament play and X amount of wildcards to advance to the next phase. _x000D_
_x000D_
Smaller-scale Example:  _x000D_
_x000D_
Top 8 per phase move forward based on Tournament Score &amp; 2 Wildcards. _x000D_
_x000D_
However, only 4 ppl show for the Tournament. All four qualify to move forward to the next phase based on play, but there are no remaining players for the wildcard selections to pull from. This is when the error message is shown and it locks the tournament up from moving forward. The qualifiers are not drawn and the property cannot play the next Phase. _x000D_
_x000D_
This is working as designed. However, we are requesting the following enhancement. _x000D_
_x000D_
When the above error appears, then add an override button to appear as well that will allow the system to disregard pulling wildcard players and move forward with the qualifying players.</t>
  </si>
  <si>
    <t>Review</t>
  </si>
  <si>
    <t>Tournament Multi Phase Qualifiers and Wildcards</t>
  </si>
  <si>
    <t>Not enough players to be chosen as wild cards causes error.</t>
  </si>
  <si>
    <t>P-00007683</t>
  </si>
  <si>
    <t>Property created a two-day Walkup Aggregate Tournament with 2000 seats per day. _x000D_
_x000D_
When you navigate to the Manage Tab &gt; Session Mgmt and try to click on the Add Session button, the system will display an error page: _x000D_
_x000D_
Error Message: _x000D_
_x000D_
Value of '2001' is not valid for 'Value'. 'Value' should be between 'MinValue' and 'MaxValue'. Parameter name: Value_x000D_
_x000D_
See attached for full error page information.</t>
  </si>
  <si>
    <t>Tournament Error when trying to add sessions</t>
  </si>
  <si>
    <t>Walk-Up Aggregate tournaments.  WA-8605</t>
  </si>
  <si>
    <t>P-00007772</t>
  </si>
  <si>
    <t>Property is unable to use the COPY function under Tournament &gt; View Tournament &gt; Copy hyperlink</t>
  </si>
  <si>
    <t>Tournament Manager Copy function is not working</t>
  </si>
  <si>
    <t>&lt;a href="https://igt-casinosystems.atlassian.net/browse/TRM-5628" target="_blank"&gt;TRM-5628&lt;/a&gt;</t>
  </si>
  <si>
    <t>Only affects properties with 21+ characters in the domain name.  Customer can utilize Template feature or Update Tournament_Copy stored procedure to match all other procs using @Domain parameter of VARCHAR(64).</t>
  </si>
  <si>
    <t>P-00007818</t>
  </si>
  <si>
    <t>Property claims that when tournament is created for a duration of 3 minutes, the actually tournament play is going for 5 minutes</t>
  </si>
  <si>
    <t>TRM: Tournament duration is playing for longer than configured</t>
  </si>
  <si>
    <t>Set Default to lowest time property plans to set for tournament play.</t>
  </si>
  <si>
    <t>P-00007819</t>
  </si>
  <si>
    <t>With Spin Derby v.1 (IGT_Game020003DPUX01), When the player spins the reels for the last time BEFORE the timer runs out, but the reels land AFTER the timer runs out, the player will not receive the credits for that spin. _x000D_
_x000D_
Property wants the player to receive credits for any spin started before the timer runs out.</t>
  </si>
  <si>
    <t>Spin Derby Game Play v.1 (IGT_Game020003DPUX01)</t>
  </si>
  <si>
    <t>Issue to be fixed with updated version.  WA-8701 contains details.</t>
  </si>
  <si>
    <t>P-00007820</t>
  </si>
  <si>
    <t>When installing Spin Derby (IGT_Game020003DPUX01) and the EGMs are placed into TRM mode for the first time via the EGM, the game information is not populating the Feature and ThemeFeature tables in the TRM DB as they are supposed to. _x000D_
_x000D_
In addition, when assigning the Seats, the EGMID is also not populating in the TRM application.</t>
  </si>
  <si>
    <t>Tournament EGMs not connecting with Spin Derby v.1 (IGT_Game020003DPUX01)</t>
  </si>
  <si>
    <t>WA-8702 available to fix Feature and Theme Feature tables</t>
  </si>
  <si>
    <t>P-00007821</t>
  </si>
  <si>
    <t>During walk-up style tournament, if an EGM tilts during the play and the user selects VOID SCORE (instead of VOID SCORE and REENROLL), when they attempt to register the player, they receive a webpage error.</t>
  </si>
  <si>
    <t>TRM - Webpage error when selecting VOID SCORE during tilt in a Walk-up Style tournament</t>
  </si>
  <si>
    <t>Enable then disable EnableAutoRegistration in System Settings</t>
  </si>
  <si>
    <t>P-00007849</t>
  </si>
  <si>
    <t># Error encountered when user performed multiple registration to the same patron (under Single Registration -&gt; find same patron -&gt; input 1 entry for player to the tournament, keep repeat the same process). Issue also can be triggered if keep register different patron but with faster registration speed. Once the issue encountered, the tournament will not able to register any patron._x000D_
_x000D_
_x000D_
_x000D_
 </t>
  </si>
  <si>
    <t>Error encountered when user performed multiple registration for the same patron</t>
  </si>
  <si>
    <t>&lt;a href="https://igt-casinosystems.atlassian.net/browse/TRM-5635" target="_blank"&gt;TRM-5635&lt;/a&gt;</t>
  </si>
  <si>
    <t>No workaround at this time.</t>
  </si>
  <si>
    <t>P-00007853</t>
  </si>
  <si>
    <t>EGMs spamming a lot of invalid message causing the CPU utilization at the TM app server to spike.</t>
  </si>
  <si>
    <t>IGT Tournament Message Services will spike the server CPU’s usage.</t>
  </si>
  <si>
    <t>&lt;a href="https://igt-casinosystems.atlassian.net/browse/TRM-5637" target="_blank"&gt;TRM-5637&lt;/a&gt;</t>
  </si>
  <si>
    <t>Reboot the TRM Messaging server before you run tournaments to get it into a good state without CPU spiked. Or have the property select a different tournament game.</t>
  </si>
  <si>
    <t>P-00007984</t>
  </si>
  <si>
    <t>Property is unable to run walk-up tournament.  Countdown does not trigger</t>
  </si>
  <si>
    <t>TRM - Unable to get EGMs in Countdown during Walk-up Tournament</t>
  </si>
  <si>
    <t>&lt;a href="https://igt-casinosystems.atlassian.net/browse/TRM-5639" target="_blank"&gt;TRM-5639&lt;/a&gt;</t>
  </si>
  <si>
    <t>WA-8808 available to correct db name.</t>
  </si>
  <si>
    <t>P-00008044</t>
  </si>
  <si>
    <t>When installing Tournament Manager error "User, group, or role NT AUTHORITY\SYSTEM already exists in the current database." is presented. NT AUTHORITY\SYSTEM is almost always present in the Model system database in SQL. Shell DBs for TMPlayer and STMS_IGT are created, but tables within are not created.</t>
  </si>
  <si>
    <t>IPS Fails to install Tournament Manager DBs</t>
  </si>
  <si>
    <t>P-00008160</t>
  </si>
  <si>
    <t>When customer is running a Spinsplosion tournament the side list of scores does not scroll. Sometimes it takes a reboot for the Leaderboard to initially start showing any scores at all. Customer has Spinsplosion and Incredibells with sign switcher software originally installed but issue persists with just Spinspolsion and single theme software installed.</t>
  </si>
  <si>
    <t>a97140000008PRgAAM</t>
  </si>
  <si>
    <t>Tournament sign is not scrolling with Spinsplosion theme in Tournament Mode</t>
  </si>
  <si>
    <t>P-00008322</t>
  </si>
  <si>
    <t>the Vd Id parameter in the Srflash.aspx endpoint is not being appropriately sanitised, leading to an SQL injection condition from anyone who has access to the page. If xp_cmdshell is enabled on SQL as well then that can further allow someone to compromise the DB server as well.</t>
  </si>
  <si>
    <t>rflash.aspx SQL injection</t>
  </si>
  <si>
    <t>P-00008323</t>
  </si>
  <si>
    <t>The IGT Tournament Manager application was found to be susceptible to an authentication bypass using pages Kiosk3P.aspx, selfregister2.aspx and GraphicLibrary.aspx, allowing an_x000D_
unauthenticated internal attacker to abuse the lack of authorisation checks on various endpoints to inherit Normal User role_x000D_
access to the application, thereby gaining access to various site functionality.</t>
  </si>
  <si>
    <t>Authentication bypass using Kiosk3P.aspx, selfregister2.aspx, GraphicLibrary.aspx pages</t>
  </si>
  <si>
    <t>P-00008368</t>
  </si>
  <si>
    <t>Problem Record 7156 - Walkup Bonus Registration error</t>
  </si>
  <si>
    <t>P-00008370</t>
  </si>
  <si>
    <t>Customer is concerned about winners being in first three hours of play everything.</t>
  </si>
  <si>
    <t>Concerns with higher winners in first two hours of tournaments</t>
  </si>
  <si>
    <t>P-00008379</t>
  </si>
  <si>
    <t>This has been submitted as a Jira GMSCPL-14032 .</t>
  </si>
  <si>
    <t>Unable to shut off touchscreen on Dynamic Player Panel</t>
  </si>
  <si>
    <t>P-00008433</t>
  </si>
  <si>
    <t>known issue with the WOF Progressive sign not being able to switch back and forth. JIRA: GMSCPL-14343_x000D_
_x000D_
Sign was manually configured and switch to tournament mode at the sign controller. Sign is not showing as an option when creating the tournaments, although is showing under Tools&gt;Signs. Although the sign goes thru the attract mode for tournament, it does not show the scores when a tournament is being played.</t>
  </si>
  <si>
    <t>Sign not switching back to Progressive after tournament completion</t>
  </si>
  <si>
    <t>P-00008444</t>
  </si>
  <si>
    <t>When the URL to commhub is enabled for Enrolling a patron in a tournament by cardin at an EGM, the Message service is sending 350 different messages every second causing commhub service to memory leak until all available memory is used and the service restarts.</t>
  </si>
  <si>
    <t>TRM - Enroll by EGM via commhub events causing so much traffic, commhub runs out of available memory and restarts</t>
  </si>
  <si>
    <t>Systems_Account__c</t>
  </si>
  <si>
    <t>ParentId</t>
  </si>
  <si>
    <t>ShippingStreet</t>
  </si>
  <si>
    <t>ShippingCity</t>
  </si>
  <si>
    <t>ShippingState</t>
  </si>
  <si>
    <t>ShippingPostalCode</t>
  </si>
  <si>
    <t>ShippingCountry</t>
  </si>
  <si>
    <t>ShippingAddress</t>
  </si>
  <si>
    <t>Phone</t>
  </si>
  <si>
    <t>Website</t>
  </si>
  <si>
    <t>Physical_Time_Zone__c</t>
  </si>
  <si>
    <t>Customer_Number__c</t>
  </si>
  <si>
    <t>Clarity_ID__c</t>
  </si>
  <si>
    <t>Tournament_Manager_System__c</t>
  </si>
  <si>
    <t>Description</t>
  </si>
  <si>
    <t>Machine_Qty__c</t>
  </si>
  <si>
    <t>Install_Date__c</t>
  </si>
  <si>
    <t>Opp_Num__c</t>
  </si>
  <si>
    <t>SAP_Project_Number__c</t>
  </si>
  <si>
    <t>Clarity_Project_ID__c</t>
  </si>
  <si>
    <t>Services_Project_Manager__c</t>
  </si>
  <si>
    <t>System_AM_Email__c</t>
  </si>
  <si>
    <t>Sales_Support_Lead__c</t>
  </si>
  <si>
    <t>Solutions_Architect_Lead__c</t>
  </si>
  <si>
    <t>Opp_Parent_Account__c</t>
  </si>
  <si>
    <t>PM_Email__c</t>
  </si>
  <si>
    <t>Sales_Support_Lead_Email__c</t>
  </si>
  <si>
    <t>PPM_Lead_PSC__c</t>
  </si>
  <si>
    <t>PPM_Lead_SE__c</t>
  </si>
  <si>
    <t>Sales_Order__c</t>
  </si>
  <si>
    <t>PPM_Technical_Oversight__c</t>
  </si>
  <si>
    <t>Id</t>
  </si>
  <si>
    <t>Account_Name__c</t>
  </si>
  <si>
    <t>BLUE_SIR_ID__c</t>
  </si>
  <si>
    <t>Opportunity__c</t>
  </si>
  <si>
    <t>SAP_Sales_Doc__c</t>
  </si>
  <si>
    <t>Solution_Stack_Status__c</t>
  </si>
  <si>
    <t>SAP_Jurisdiction_Code__c</t>
  </si>
  <si>
    <t>Jurisdiction_Name__c</t>
  </si>
  <si>
    <t>Material_All_Approved__c</t>
  </si>
  <si>
    <t>ORCL__c</t>
  </si>
  <si>
    <t>Document_Type__c</t>
  </si>
  <si>
    <t>Jurisdiction__c</t>
  </si>
  <si>
    <t>Preceding_Document__c</t>
  </si>
  <si>
    <t>SIR_Type__c</t>
  </si>
  <si>
    <t>Notification_Days__c</t>
  </si>
  <si>
    <t>Media_Notification_Period__c</t>
  </si>
  <si>
    <t>Opp_Number_Truncated__c</t>
  </si>
  <si>
    <t>ZJAM_EXC_Count__c</t>
  </si>
  <si>
    <t>ZJAM_PNH_Count__c</t>
  </si>
  <si>
    <t>Ticket__c</t>
  </si>
  <si>
    <t>aAU5Y000000LRzoWAG</t>
  </si>
  <si>
    <t>0020641522</t>
  </si>
  <si>
    <t>0015Y00003222HoQAI</t>
  </si>
  <si>
    <t>PRJ-00025241</t>
  </si>
  <si>
    <t>3121566</t>
  </si>
  <si>
    <t>OPP259229</t>
  </si>
  <si>
    <t>0065Y00001hOSWXQA4</t>
  </si>
  <si>
    <t>Completed</t>
  </si>
  <si>
    <t>true</t>
  </si>
  <si>
    <t>ZQT</t>
  </si>
  <si>
    <t>Nevada - US</t>
  </si>
  <si>
    <t>0001437754</t>
  </si>
  <si>
    <t>Production</t>
  </si>
  <si>
    <t>259229</t>
  </si>
  <si>
    <t>500VO000003gQafYAE</t>
  </si>
  <si>
    <t>Project_Type__c</t>
  </si>
  <si>
    <t>Software_Stack_Approval_Status__c</t>
  </si>
  <si>
    <t>Opportunity_Number__c</t>
  </si>
  <si>
    <t>Project_ID__c</t>
  </si>
  <si>
    <t>Project_Scope__c</t>
  </si>
  <si>
    <t>Install Date:</t>
  </si>
  <si>
    <t>Change Request</t>
  </si>
  <si>
    <t xml:space="preserve">PPM Project </t>
  </si>
  <si>
    <t>Property Name</t>
  </si>
  <si>
    <t>SA</t>
  </si>
  <si>
    <t>TRM</t>
  </si>
  <si>
    <t>Opp #</t>
  </si>
  <si>
    <t>Environment__c</t>
  </si>
  <si>
    <t>SystemServiceRegion__c</t>
  </si>
  <si>
    <t>PPM_Work_Status__c</t>
  </si>
  <si>
    <t>P-00008466</t>
  </si>
  <si>
    <t>When creating a tournament in the UI, the Machine Details page does not reflect the options it should.  Max Bet, MC Voice, Spin Derby Logo, Countdown Options, Display Opponent Names, and Authentication Type are missing.</t>
  </si>
  <si>
    <t>Machine Details not showing all features - Spin Derby</t>
  </si>
  <si>
    <t>PPM_Project_Manager__c</t>
  </si>
  <si>
    <t>PPM_PMO_Category__c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</si>
</sst>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1"/>
      <color theme="1"/>
      <name val="Lato"/>
      <family val="2"/>
    </font>
    <font>
      <b/>
      <sz val="11"/>
      <color theme="1"/>
      <name val="Lato"/>
      <family val="2"/>
    </font>
    <font>
      <b/>
      <sz val="22"/>
      <color theme="0"/>
      <name val="Lato"/>
      <family val="2"/>
    </font>
    <font>
      <b/>
      <sz val="12"/>
      <color theme="1"/>
      <name val="Lato"/>
      <family val="2"/>
    </font>
    <font>
      <sz val="12"/>
      <color theme="1"/>
      <name val="Lato"/>
      <family val="2"/>
    </font>
    <font>
      <b/>
      <sz val="14"/>
      <color theme="0"/>
      <name val="Lato"/>
      <family val="2"/>
    </font>
    <font>
      <b/>
      <sz val="11"/>
      <color theme="0"/>
      <name val="Lato"/>
      <family val="2"/>
    </font>
    <font>
      <sz val="24"/>
      <color theme="1"/>
      <name val="Lato"/>
      <family val="2"/>
    </font>
    <font>
      <sz val="24"/>
      <color theme="4" tint="-0.499984740745262"/>
      <name val="Lato"/>
      <family val="2"/>
    </font>
    <font>
      <sz val="12"/>
      <color theme="0"/>
      <name val="Lato"/>
      <family val="2"/>
    </font>
    <font>
      <sz val="8"/>
      <name val="Calibri"/>
      <family val="2"/>
      <scheme val="minor"/>
    </font>
    <font>
      <u/>
      <sz val="11"/>
      <color theme="10"/>
      <name val="Lato"/>
      <family val="2"/>
    </font>
    <font>
      <sz val="11"/>
      <color rgb="FFFF0000"/>
      <name val="Lato"/>
      <family val="2"/>
    </font>
    <font>
      <sz val="8"/>
      <color theme="1"/>
      <name val="Lato"/>
      <family val="2"/>
    </font>
    <font>
      <b/>
      <sz val="14"/>
      <name val="Lato"/>
      <family val="2"/>
    </font>
    <font>
      <b/>
      <sz val="11"/>
      <color rgb="FF000000"/>
      <name val="Arial"/>
      <family val="2"/>
    </font>
  </fonts>
  <fills count="10">
    <fill>
      <patternFill patternType="none"/>
    </fill>
    <fill>
      <patternFill patternType="gray125"/>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1B9DDB"/>
        <bgColor indexed="64"/>
      </patternFill>
    </fill>
    <fill>
      <patternFill patternType="solid">
        <fgColor rgb="FF1B9DDB"/>
        <bgColor theme="4"/>
      </patternFill>
    </fill>
    <fill>
      <patternFill patternType="solid">
        <fgColor theme="2"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tint="-0.249977111117893"/>
        <bgColor theme="4" tint="0.79998168889431442"/>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theme="4" tint="0.3999755851924192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thin">
        <color theme="9" tint="0.39997558519241921"/>
      </top>
      <bottom style="thin">
        <color theme="9" tint="0.39997558519241921"/>
      </bottom>
      <diagonal/>
    </border>
    <border>
      <left/>
      <right style="thin">
        <color indexed="64"/>
      </right>
      <top style="medium">
        <color indexed="64"/>
      </top>
      <bottom style="thin">
        <color indexed="64"/>
      </bottom>
      <diagonal/>
    </border>
  </borders>
  <cellStyleXfs count="2">
    <xf numFmtId="0" fontId="0" fillId="0" borderId="0"/>
    <xf numFmtId="0" fontId="12" fillId="0" borderId="0" applyNumberFormat="0" applyFill="0" applyBorder="0" applyAlignment="0" applyProtection="0"/>
  </cellStyleXfs>
  <cellXfs count="120">
    <xf numFmtId="0" fontId="0" fillId="0" borderId="0" xfId="0"/>
    <xf numFmtId="0" fontId="1" fillId="0" borderId="0" xfId="0" applyFont="1"/>
    <xf numFmtId="0" fontId="4" fillId="2" borderId="24" xfId="0" applyFont="1" applyFill="1" applyBorder="1" applyAlignment="1">
      <alignment horizontal="left" wrapText="1"/>
    </xf>
    <xf numFmtId="0" fontId="5" fillId="0" borderId="0" xfId="0" applyFont="1"/>
    <xf numFmtId="0" fontId="4" fillId="0" borderId="7" xfId="0" applyFont="1" applyBorder="1" applyAlignment="1">
      <alignment horizontal="left" wrapText="1"/>
    </xf>
    <xf numFmtId="0" fontId="4" fillId="2" borderId="7" xfId="0" applyFont="1" applyFill="1" applyBorder="1" applyAlignment="1">
      <alignment horizontal="left" wrapText="1"/>
    </xf>
    <xf numFmtId="0" fontId="4" fillId="0" borderId="9" xfId="0" applyFont="1" applyBorder="1" applyAlignment="1">
      <alignment horizontal="left" wrapText="1"/>
    </xf>
    <xf numFmtId="0" fontId="4" fillId="2" borderId="4" xfId="0" applyFont="1" applyFill="1" applyBorder="1" applyAlignment="1">
      <alignment wrapText="1"/>
    </xf>
    <xf numFmtId="0" fontId="4" fillId="0" borderId="7" xfId="0" applyFont="1" applyBorder="1" applyAlignment="1">
      <alignment horizontal="right" wrapText="1"/>
    </xf>
    <xf numFmtId="0" fontId="1" fillId="0" borderId="8" xfId="0" applyFont="1" applyBorder="1" applyAlignment="1">
      <alignment horizontal="center" vertical="center"/>
    </xf>
    <xf numFmtId="0" fontId="4" fillId="0" borderId="29" xfId="0" applyFont="1" applyBorder="1" applyAlignment="1">
      <alignment horizontal="right" wrapText="1"/>
    </xf>
    <xf numFmtId="0" fontId="1" fillId="0" borderId="0" xfId="0" applyFont="1" applyAlignment="1">
      <alignment horizontal="center"/>
    </xf>
    <xf numFmtId="0" fontId="1" fillId="0" borderId="0" xfId="0" applyFont="1" applyAlignment="1">
      <alignment wrapText="1"/>
    </xf>
    <xf numFmtId="0" fontId="2" fillId="0" borderId="7" xfId="0" applyFont="1" applyBorder="1" applyAlignment="1">
      <alignment vertical="center"/>
    </xf>
    <xf numFmtId="0" fontId="1" fillId="0" borderId="18" xfId="0" applyFont="1" applyBorder="1"/>
    <xf numFmtId="0" fontId="12" fillId="0" borderId="1" xfId="1" applyBorder="1" applyAlignment="1" applyProtection="1">
      <alignment horizontal="left" wrapText="1"/>
    </xf>
    <xf numFmtId="0" fontId="13" fillId="0" borderId="0" xfId="0" applyFont="1"/>
    <xf numFmtId="0" fontId="10" fillId="0" borderId="0" xfId="0" applyFont="1"/>
    <xf numFmtId="16" fontId="10" fillId="0" borderId="0" xfId="0" applyNumberFormat="1" applyFont="1"/>
    <xf numFmtId="0" fontId="5" fillId="2" borderId="8" xfId="0" applyFont="1" applyFill="1" applyBorder="1" applyAlignment="1">
      <alignment horizontal="left" wrapText="1"/>
    </xf>
    <xf numFmtId="0" fontId="0" fillId="0" borderId="0" xfId="0" applyAlignment="1">
      <alignment shrinkToFit="1"/>
    </xf>
    <xf numFmtId="14" fontId="0" fillId="0" borderId="0" xfId="0" applyNumberFormat="1" applyAlignment="1">
      <alignment shrinkToFit="1"/>
    </xf>
    <xf numFmtId="0" fontId="0" fillId="0" borderId="34" xfId="0" applyBorder="1"/>
    <xf numFmtId="49" fontId="0" fillId="0" borderId="0" xfId="0" applyNumberFormat="1"/>
    <xf numFmtId="0" fontId="15" fillId="7" borderId="33" xfId="0" applyFont="1" applyFill="1" applyBorder="1" applyAlignment="1">
      <alignment horizontal="center"/>
    </xf>
    <xf numFmtId="0" fontId="15" fillId="7" borderId="5" xfId="0" applyFont="1" applyFill="1" applyBorder="1" applyAlignment="1">
      <alignment horizontal="center"/>
    </xf>
    <xf numFmtId="0" fontId="15" fillId="7" borderId="6" xfId="0" applyFont="1" applyFill="1" applyBorder="1" applyAlignment="1">
      <alignment horizontal="center"/>
    </xf>
    <xf numFmtId="0" fontId="1" fillId="0" borderId="19" xfId="0" applyFont="1" applyBorder="1" applyAlignment="1">
      <alignment wrapText="1"/>
    </xf>
    <xf numFmtId="0" fontId="5" fillId="2" borderId="30" xfId="0" applyFont="1" applyFill="1" applyBorder="1" applyAlignment="1">
      <alignment horizontal="center" wrapText="1"/>
    </xf>
    <xf numFmtId="0" fontId="6" fillId="5" borderId="17" xfId="0" applyFont="1" applyFill="1" applyBorder="1" applyAlignment="1">
      <alignment vertical="center" wrapText="1"/>
    </xf>
    <xf numFmtId="0" fontId="14" fillId="0" borderId="0" xfId="0" applyFont="1" applyAlignment="1">
      <alignment vertical="top" wrapText="1" shrinkToFit="1"/>
    </xf>
    <xf numFmtId="0" fontId="14" fillId="0" borderId="19" xfId="0" applyFont="1" applyBorder="1" applyAlignment="1">
      <alignment vertical="top" wrapText="1" shrinkToFit="1"/>
    </xf>
    <xf numFmtId="0" fontId="14" fillId="0" borderId="25" xfId="0" applyFont="1" applyBorder="1" applyAlignment="1">
      <alignment vertical="top" wrapText="1" shrinkToFit="1"/>
    </xf>
    <xf numFmtId="0" fontId="14" fillId="0" borderId="26" xfId="0" applyFont="1" applyBorder="1" applyAlignment="1">
      <alignment vertical="top" wrapText="1" shrinkToFit="1"/>
    </xf>
    <xf numFmtId="0" fontId="4" fillId="2" borderId="7" xfId="0" applyFont="1" applyFill="1" applyBorder="1" applyAlignment="1">
      <alignment wrapText="1"/>
    </xf>
    <xf numFmtId="0" fontId="4" fillId="2" borderId="12" xfId="0" applyFont="1" applyFill="1" applyBorder="1" applyAlignment="1">
      <alignment wrapText="1"/>
    </xf>
    <xf numFmtId="0" fontId="4" fillId="2" borderId="13" xfId="0" applyFont="1" applyFill="1" applyBorder="1" applyAlignment="1">
      <alignment wrapText="1"/>
    </xf>
    <xf numFmtId="0" fontId="14" fillId="0" borderId="14" xfId="0" applyFont="1" applyBorder="1" applyAlignment="1">
      <alignment vertical="top" wrapText="1" shrinkToFit="1"/>
    </xf>
    <xf numFmtId="0" fontId="14" fillId="0" borderId="8" xfId="0" applyFont="1" applyBorder="1" applyAlignment="1">
      <alignment vertical="top" wrapText="1" shrinkToFit="1"/>
    </xf>
    <xf numFmtId="0" fontId="4" fillId="2" borderId="9" xfId="0" applyFont="1" applyFill="1" applyBorder="1" applyAlignment="1">
      <alignment wrapText="1"/>
    </xf>
    <xf numFmtId="0" fontId="14" fillId="0" borderId="11" xfId="0" applyFont="1" applyBorder="1" applyAlignment="1">
      <alignment vertical="top" wrapText="1" shrinkToFit="1"/>
    </xf>
    <xf numFmtId="0" fontId="5" fillId="9" borderId="14" xfId="0" applyFont="1" applyFill="1" applyBorder="1" applyAlignment="1">
      <alignment horizontal="left" wrapText="1"/>
    </xf>
    <xf numFmtId="0" fontId="5" fillId="6" borderId="8" xfId="0" applyFont="1" applyFill="1" applyBorder="1" applyAlignment="1">
      <alignment horizontal="left" wrapText="1"/>
    </xf>
    <xf numFmtId="0" fontId="5" fillId="6" borderId="8" xfId="0" applyFont="1" applyFill="1" applyBorder="1" applyAlignment="1">
      <alignment horizontal="left"/>
    </xf>
    <xf numFmtId="0" fontId="1" fillId="8" borderId="18" xfId="0" applyFont="1" applyFill="1" applyBorder="1"/>
    <xf numFmtId="0" fontId="1" fillId="8" borderId="0" xfId="0" applyFont="1" applyFill="1"/>
    <xf numFmtId="0" fontId="1" fillId="8" borderId="20" xfId="0" applyFont="1" applyFill="1" applyBorder="1"/>
    <xf numFmtId="0" fontId="1" fillId="8" borderId="22" xfId="0" applyFont="1" applyFill="1" applyBorder="1"/>
    <xf numFmtId="0" fontId="1" fillId="8" borderId="19" xfId="0" applyFont="1" applyFill="1" applyBorder="1"/>
    <xf numFmtId="0" fontId="1" fillId="8" borderId="27" xfId="0" applyFont="1" applyFill="1" applyBorder="1"/>
    <xf numFmtId="0" fontId="1" fillId="8" borderId="25" xfId="0" applyFont="1" applyFill="1" applyBorder="1"/>
    <xf numFmtId="0" fontId="1" fillId="8" borderId="26" xfId="0" applyFont="1" applyFill="1" applyBorder="1"/>
    <xf numFmtId="0" fontId="16" fillId="0" borderId="0" xfId="0" applyFont="1"/>
    <xf numFmtId="14" fontId="4" fillId="2" borderId="31" xfId="0" applyNumberFormat="1" applyFont="1" applyFill="1" applyBorder="1" applyAlignment="1">
      <alignment horizontal="center" wrapText="1"/>
    </xf>
    <xf numFmtId="0" fontId="5" fillId="0" borderId="1" xfId="0" applyFont="1" applyBorder="1" applyAlignment="1">
      <alignment horizontal="left" wrapText="1"/>
    </xf>
    <xf numFmtId="0" fontId="5" fillId="0" borderId="8" xfId="0" applyFont="1" applyBorder="1" applyAlignment="1">
      <alignment horizontal="left" wrapText="1"/>
    </xf>
    <xf numFmtId="0" fontId="4" fillId="2" borderId="5" xfId="0" applyFont="1" applyFill="1" applyBorder="1" applyAlignment="1">
      <alignment horizontal="center" wrapText="1"/>
    </xf>
    <xf numFmtId="0" fontId="4" fillId="2" borderId="6" xfId="0" applyFont="1" applyFill="1" applyBorder="1" applyAlignment="1">
      <alignment horizontal="center" wrapText="1"/>
    </xf>
    <xf numFmtId="0" fontId="4" fillId="2" borderId="7" xfId="0" applyFont="1" applyFill="1" applyBorder="1" applyAlignment="1">
      <alignment wrapText="1"/>
    </xf>
    <xf numFmtId="0" fontId="4" fillId="2" borderId="1" xfId="0" applyFont="1" applyFill="1" applyBorder="1" applyAlignment="1">
      <alignment wrapText="1"/>
    </xf>
    <xf numFmtId="0" fontId="5" fillId="6" borderId="1" xfId="0" applyFont="1" applyFill="1" applyBorder="1" applyAlignment="1">
      <alignment horizontal="center"/>
    </xf>
    <xf numFmtId="0" fontId="5" fillId="6" borderId="8" xfId="0" applyFont="1" applyFill="1" applyBorder="1" applyAlignment="1">
      <alignment horizontal="center"/>
    </xf>
    <xf numFmtId="0" fontId="2" fillId="0" borderId="7" xfId="0" applyFont="1" applyBorder="1" applyAlignment="1">
      <alignment vertical="center"/>
    </xf>
    <xf numFmtId="0" fontId="2" fillId="0" borderId="1" xfId="0" applyFont="1" applyBorder="1" applyAlignment="1">
      <alignment vertical="center"/>
    </xf>
    <xf numFmtId="0" fontId="4" fillId="2" borderId="32" xfId="0" applyFont="1" applyFill="1" applyBorder="1" applyAlignment="1">
      <alignment horizontal="left" wrapText="1"/>
    </xf>
    <xf numFmtId="0" fontId="4" fillId="2" borderId="28" xfId="0" applyFont="1" applyFill="1" applyBorder="1" applyAlignment="1">
      <alignment horizontal="left" wrapText="1"/>
    </xf>
    <xf numFmtId="0" fontId="4" fillId="2" borderId="29" xfId="0" applyFont="1" applyFill="1" applyBorder="1" applyAlignment="1">
      <alignment wrapText="1"/>
    </xf>
    <xf numFmtId="0" fontId="4" fillId="2" borderId="23" xfId="0" applyFont="1" applyFill="1" applyBorder="1" applyAlignment="1">
      <alignment wrapText="1"/>
    </xf>
    <xf numFmtId="0" fontId="5" fillId="0" borderId="23" xfId="0" applyFont="1" applyBorder="1" applyAlignment="1">
      <alignment horizontal="left" wrapText="1"/>
    </xf>
    <xf numFmtId="0" fontId="5" fillId="0" borderId="30" xfId="0" applyFont="1" applyBorder="1" applyAlignment="1">
      <alignment horizontal="left" wrapText="1"/>
    </xf>
    <xf numFmtId="0" fontId="6" fillId="5" borderId="21" xfId="0" applyFont="1" applyFill="1" applyBorder="1" applyAlignment="1">
      <alignment horizontal="left" vertical="center" wrapText="1"/>
    </xf>
    <xf numFmtId="0" fontId="6" fillId="5" borderId="20"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5" xfId="0" applyFont="1" applyFill="1" applyBorder="1" applyAlignment="1">
      <alignment horizontal="right" vertical="center" wrapText="1"/>
    </xf>
    <xf numFmtId="0" fontId="6" fillId="5" borderId="16" xfId="0" applyFont="1" applyFill="1" applyBorder="1" applyAlignment="1">
      <alignment horizontal="right" vertical="center" wrapText="1"/>
    </xf>
    <xf numFmtId="0" fontId="14" fillId="0" borderId="21" xfId="0" applyFont="1" applyBorder="1" applyAlignment="1">
      <alignment horizontal="center" vertical="top" wrapText="1" shrinkToFit="1"/>
    </xf>
    <xf numFmtId="0" fontId="14" fillId="0" borderId="20" xfId="0" applyFont="1" applyBorder="1" applyAlignment="1">
      <alignment horizontal="center" vertical="top" wrapText="1" shrinkToFit="1"/>
    </xf>
    <xf numFmtId="0" fontId="14" fillId="0" borderId="18" xfId="0" applyFont="1" applyBorder="1" applyAlignment="1">
      <alignment horizontal="center" vertical="top" wrapText="1" shrinkToFit="1"/>
    </xf>
    <xf numFmtId="0" fontId="14" fillId="0" borderId="0" xfId="0" applyFont="1" applyAlignment="1">
      <alignment horizontal="center" vertical="top" wrapText="1" shrinkToFit="1"/>
    </xf>
    <xf numFmtId="0" fontId="14" fillId="0" borderId="27" xfId="0" applyFont="1" applyBorder="1" applyAlignment="1">
      <alignment horizontal="center" vertical="top" wrapText="1" shrinkToFit="1"/>
    </xf>
    <xf numFmtId="0" fontId="14" fillId="0" borderId="25" xfId="0" applyFont="1" applyBorder="1" applyAlignment="1">
      <alignment horizontal="center" vertical="top" wrapText="1" shrinkToFit="1"/>
    </xf>
    <xf numFmtId="0" fontId="8" fillId="0" borderId="15" xfId="0" applyFont="1" applyBorder="1" applyAlignment="1">
      <alignment horizontal="left" shrinkToFit="1"/>
    </xf>
    <xf numFmtId="0" fontId="8" fillId="0" borderId="16" xfId="0" applyFont="1" applyBorder="1" applyAlignment="1">
      <alignment horizontal="left" shrinkToFit="1"/>
    </xf>
    <xf numFmtId="0" fontId="8" fillId="0" borderId="17" xfId="0" applyFont="1" applyBorder="1" applyAlignment="1">
      <alignment horizontal="left" shrinkToFit="1"/>
    </xf>
    <xf numFmtId="0" fontId="3" fillId="4" borderId="15" xfId="0" applyFont="1" applyFill="1" applyBorder="1" applyAlignment="1">
      <alignment horizontal="center"/>
    </xf>
    <xf numFmtId="0" fontId="3" fillId="4" borderId="16" xfId="0" applyFont="1" applyFill="1" applyBorder="1" applyAlignment="1">
      <alignment horizontal="center"/>
    </xf>
    <xf numFmtId="0" fontId="3" fillId="4" borderId="17" xfId="0" applyFont="1" applyFill="1" applyBorder="1" applyAlignment="1">
      <alignment horizontal="center"/>
    </xf>
    <xf numFmtId="0" fontId="4" fillId="0" borderId="7" xfId="0" applyFont="1" applyBorder="1" applyAlignment="1">
      <alignment wrapText="1"/>
    </xf>
    <xf numFmtId="0" fontId="4" fillId="0" borderId="1" xfId="0" applyFont="1" applyBorder="1" applyAlignment="1">
      <alignment wrapText="1"/>
    </xf>
    <xf numFmtId="0" fontId="4" fillId="2" borderId="12" xfId="0" applyFont="1" applyFill="1" applyBorder="1" applyAlignment="1">
      <alignment wrapText="1"/>
    </xf>
    <xf numFmtId="0" fontId="4" fillId="2" borderId="13" xfId="0" applyFont="1" applyFill="1" applyBorder="1" applyAlignment="1">
      <alignment wrapText="1"/>
    </xf>
    <xf numFmtId="0" fontId="12" fillId="0" borderId="2" xfId="1" applyBorder="1" applyAlignment="1">
      <alignment horizontal="center" wrapText="1"/>
    </xf>
    <xf numFmtId="0" fontId="12" fillId="0" borderId="28" xfId="1" applyBorder="1" applyAlignment="1">
      <alignment horizontal="center" wrapText="1"/>
    </xf>
    <xf numFmtId="0" fontId="12" fillId="0" borderId="31" xfId="1" applyBorder="1" applyAlignment="1">
      <alignment horizontal="center" wrapText="1"/>
    </xf>
    <xf numFmtId="0" fontId="2" fillId="3" borderId="15" xfId="0" applyFont="1" applyFill="1" applyBorder="1" applyAlignment="1">
      <alignment horizontal="center"/>
    </xf>
    <xf numFmtId="0" fontId="2" fillId="3" borderId="16" xfId="0" applyFont="1" applyFill="1" applyBorder="1" applyAlignment="1">
      <alignment horizontal="center"/>
    </xf>
    <xf numFmtId="0" fontId="2" fillId="3" borderId="17" xfId="0" applyFont="1" applyFill="1" applyBorder="1" applyAlignment="1">
      <alignment horizontal="center"/>
    </xf>
    <xf numFmtId="0" fontId="2" fillId="3" borderId="20" xfId="0" applyFont="1" applyFill="1" applyBorder="1" applyAlignment="1">
      <alignment horizontal="center"/>
    </xf>
    <xf numFmtId="0" fontId="2" fillId="3" borderId="22" xfId="0" applyFont="1" applyFill="1" applyBorder="1" applyAlignment="1">
      <alignment horizontal="center"/>
    </xf>
    <xf numFmtId="0" fontId="4" fillId="2" borderId="2" xfId="0" applyFont="1" applyFill="1" applyBorder="1" applyAlignment="1">
      <alignment horizontal="left" wrapText="1"/>
    </xf>
    <xf numFmtId="0" fontId="4" fillId="2" borderId="31" xfId="0" applyFont="1" applyFill="1" applyBorder="1" applyAlignment="1">
      <alignment horizontal="left" wrapText="1"/>
    </xf>
    <xf numFmtId="14" fontId="4" fillId="0" borderId="7" xfId="0" applyNumberFormat="1" applyFont="1" applyBorder="1"/>
    <xf numFmtId="14" fontId="4" fillId="0" borderId="1" xfId="0" applyNumberFormat="1" applyFont="1" applyBorder="1"/>
    <xf numFmtId="0" fontId="5" fillId="6" borderId="10" xfId="0" applyFont="1" applyFill="1" applyBorder="1" applyAlignment="1">
      <alignment horizontal="left" wrapText="1"/>
    </xf>
    <xf numFmtId="0" fontId="5" fillId="6" borderId="11" xfId="0" applyFont="1" applyFill="1" applyBorder="1" applyAlignment="1">
      <alignment horizontal="left" wrapText="1"/>
    </xf>
    <xf numFmtId="0" fontId="4" fillId="0" borderId="32" xfId="0" applyFont="1" applyBorder="1"/>
    <xf numFmtId="0" fontId="4" fillId="0" borderId="3" xfId="0" applyFont="1" applyBorder="1"/>
    <xf numFmtId="0" fontId="4" fillId="0" borderId="15" xfId="0" applyFont="1" applyBorder="1" applyAlignment="1">
      <alignment horizontal="center" wrapText="1"/>
    </xf>
    <xf numFmtId="0" fontId="4" fillId="0" borderId="16" xfId="0" applyFont="1" applyBorder="1" applyAlignment="1">
      <alignment horizontal="center" wrapText="1"/>
    </xf>
    <xf numFmtId="0" fontId="4" fillId="2" borderId="33" xfId="0" applyFont="1" applyFill="1" applyBorder="1" applyAlignment="1">
      <alignment horizontal="center" wrapText="1"/>
    </xf>
    <xf numFmtId="0" fontId="4" fillId="2" borderId="35" xfId="0" applyFont="1" applyFill="1" applyBorder="1" applyAlignment="1">
      <alignment horizontal="center" wrapText="1"/>
    </xf>
    <xf numFmtId="0" fontId="9" fillId="0" borderId="15" xfId="0" applyFont="1" applyBorder="1" applyAlignment="1">
      <alignment horizontal="left" shrinkToFit="1"/>
    </xf>
    <xf numFmtId="0" fontId="9" fillId="0" borderId="16" xfId="0" applyFont="1" applyBorder="1" applyAlignment="1">
      <alignment horizontal="left" shrinkToFit="1"/>
    </xf>
    <xf numFmtId="0" fontId="9" fillId="0" borderId="17" xfId="0" applyFont="1" applyBorder="1" applyAlignment="1">
      <alignment horizontal="left" shrinkToFit="1"/>
    </xf>
    <xf numFmtId="0" fontId="1" fillId="3" borderId="15" xfId="0" applyFont="1" applyFill="1" applyBorder="1" applyAlignment="1">
      <alignment horizontal="center" wrapText="1"/>
    </xf>
    <xf numFmtId="0" fontId="1" fillId="3" borderId="16" xfId="0" applyFont="1" applyFill="1" applyBorder="1" applyAlignment="1">
      <alignment horizontal="center" wrapText="1"/>
    </xf>
    <xf numFmtId="0" fontId="1" fillId="3" borderId="17" xfId="0" applyFont="1" applyFill="1" applyBorder="1" applyAlignment="1">
      <alignment horizontal="center" wrapText="1"/>
    </xf>
    <xf numFmtId="0" fontId="7" fillId="6" borderId="15" xfId="0" applyFont="1" applyFill="1" applyBorder="1" applyAlignment="1">
      <alignment horizontal="center"/>
    </xf>
    <xf numFmtId="0" fontId="7" fillId="6" borderId="16" xfId="0" applyFont="1" applyFill="1" applyBorder="1" applyAlignment="1">
      <alignment horizontal="center"/>
    </xf>
    <xf numFmtId="0" fontId="7" fillId="6" borderId="17" xfId="0" applyFont="1" applyFill="1" applyBorder="1" applyAlignment="1">
      <alignment horizontal="center"/>
    </xf>
  </cellXfs>
  <cellStyles count="2">
    <cellStyle name="Hyperlink" xfId="1" builtinId="8" customBuiltin="1"/>
    <cellStyle name="Normal" xfId="0" builtinId="0"/>
  </cellStyles>
  <dxfs count="78">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strike val="0"/>
        <outline val="0"/>
        <shadow val="0"/>
        <u val="none"/>
        <vertAlign val="baseline"/>
        <sz val="11"/>
        <color theme="1"/>
        <name val="Lato"/>
        <family val="2"/>
        <scheme val="none"/>
      </font>
    </dxf>
    <dxf>
      <font>
        <strike val="0"/>
        <outline val="0"/>
        <shadow val="0"/>
        <u val="none"/>
        <vertAlign val="baseline"/>
        <sz val="11"/>
        <color theme="1"/>
        <name val="Lato"/>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numFmt numFmtId="19" formatCode="m/d/yyyy"/>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border outline="0">
        <left style="medium">
          <color indexed="64"/>
        </left>
        <right style="medium">
          <color indexed="64"/>
        </right>
        <top style="medium">
          <color indexed="64"/>
        </top>
      </border>
    </dxf>
    <dxf>
      <border outline="0">
        <bottom style="thin">
          <color indexed="64"/>
        </bottom>
      </border>
    </dxf>
    <dxf>
      <font>
        <b/>
        <i val="0"/>
        <strike val="0"/>
        <condense val="0"/>
        <extend val="0"/>
        <outline val="0"/>
        <shadow val="0"/>
        <u val="none"/>
        <vertAlign val="baseline"/>
        <sz val="14"/>
        <color auto="1"/>
        <name val="Lato"/>
        <family val="2"/>
        <scheme val="none"/>
      </font>
      <fill>
        <patternFill patternType="solid">
          <fgColor indexed="64"/>
          <bgColor theme="0"/>
        </patternFill>
      </fill>
      <alignment horizontal="center" vertical="bottom" textRotation="0" wrapText="0" indent="0" justifyLastLine="0" shrinkToFit="0" readingOrder="0"/>
    </dxf>
  </dxfs>
  <tableStyles count="0" defaultTableStyle="TableStyleMedium2" defaultPivotStyle="PivotStyleLight16"/>
  <colors>
    <mruColors>
      <color rgb="FFD9E1F2"/>
      <color rgb="FF1B9DDB"/>
      <color rgb="FFFFA300"/>
      <color rgb="FF0C51A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57151</xdr:colOff>
      <xdr:row>0</xdr:row>
      <xdr:rowOff>76201</xdr:rowOff>
    </xdr:from>
    <xdr:to>
      <xdr:col>1</xdr:col>
      <xdr:colOff>247650</xdr:colOff>
      <xdr:row>0</xdr:row>
      <xdr:rowOff>944672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1" y="1047751"/>
          <a:ext cx="2333624" cy="8684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104775</xdr:colOff>
      <xdr:row>0</xdr:row>
      <xdr:rowOff>28575</xdr:rowOff>
    </xdr:from>
    <xdr:to>
      <xdr:col>2</xdr:col>
      <xdr:colOff>342900</xdr:colOff>
      <xdr:row>0</xdr:row>
      <xdr:rowOff>900591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28575"/>
          <a:ext cx="2343150" cy="872016"/>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firstBackgroundRefresh="1" connectionId="6" xr16:uid="{41C7493C-3EDB-443A-AC55-FEA9909F1CA0}" autoFormatId="16" applyNumberFormats="0" applyBorderFormats="0" applyFontFormats="0" applyPatternFormats="0" applyAlignmentFormats="0" applyWidthHeightFormats="0">
  <queryTableRefresh>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5" xr16:uid="{3C185D82-1FAE-4935-B5A1-D95E0336C0EC}" autoFormatId="16" applyNumberFormats="0" applyBorderFormats="0" applyFontFormats="0" applyPatternFormats="0" applyAlignmentFormats="0" applyWidthHeightFormats="0">
  <queryTableRefresh nextId="11">
    <queryTableFields count="10">
      <queryTableField id="1" name="Name" tableColumnId="1"/>
      <queryTableField id="2" name="Details__c" tableColumnId="2"/>
      <queryTableField id="3" name="Product__c" tableColumnId="3"/>
      <queryTableField id="4" name="Status__c" tableColumnId="4"/>
      <queryTableField id="5" name="Subject__c" tableColumnId="5"/>
      <queryTableField id="6" name="System__c" tableColumnId="6"/>
      <queryTableField id="7" name="Fixed_in_Versions__c" tableColumnId="7"/>
      <queryTableField id="8" name="Jira_URL__c" tableColumnId="8"/>
      <queryTableField id="9" name="Product_Build__c" tableColumnId="9"/>
      <queryTableField id="10" name="Delivery_Notes__c"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 xr16:uid="{D7B2981F-FBA2-4454-93F7-493E3DCBDCC8}" autoFormatId="16" applyNumberFormats="0" applyBorderFormats="0" applyFontFormats="0" applyPatternFormats="0" applyAlignmentFormats="0" applyWidthHeightFormats="0">
  <queryTableRefresh nextId="17">
    <queryTableFields count="15">
      <queryTableField id="1" name="Name" tableColumnId="1"/>
      <queryTableField id="15" name="Systems_Account__c" tableColumnId="15"/>
      <queryTableField id="2" name="ParentId" tableColumnId="2"/>
      <queryTableField id="3" name="ShippingStreet" tableColumnId="3"/>
      <queryTableField id="4" name="ShippingCity" tableColumnId="4"/>
      <queryTableField id="5" name="ShippingState" tableColumnId="5"/>
      <queryTableField id="6" name="ShippingPostalCode" tableColumnId="6"/>
      <queryTableField id="7" name="ShippingCountry" tableColumnId="7"/>
      <queryTableField id="8" name="ShippingAddress" tableColumnId="8"/>
      <queryTableField id="9" name="Phone" tableColumnId="9"/>
      <queryTableField id="10" name="Website" tableColumnId="10"/>
      <queryTableField id="11" name="Physical_Time_Zone__c" tableColumnId="11"/>
      <queryTableField id="12" name="Customer_Number__c" tableColumnId="12"/>
      <queryTableField id="13" name="Clarity_ID__c" tableColumnId="13"/>
      <queryTableField id="14" name="Tournament_Manager_System__c" tableColumnId="1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A3BC4951-D2FE-43EE-A6D4-BDCBADEEE12B}" autoFormatId="16" applyNumberFormats="0" applyBorderFormats="0" applyFontFormats="0" applyPatternFormats="0" applyAlignmentFormats="0" applyWidthHeightFormats="0">
  <queryTableRefresh nextId="23">
    <queryTableFields count="21">
      <queryTableField id="1" name="Name" tableColumnId="1"/>
      <queryTableField id="2" name="Description" tableColumnId="2"/>
      <queryTableField id="3" name="Machine_Qty__c" tableColumnId="3"/>
      <queryTableField id="4" name="Install_Date__c" tableColumnId="4"/>
      <queryTableField id="5" name="Customer_Number__c" tableColumnId="5"/>
      <queryTableField id="6" name="Opp_Num__c" tableColumnId="6"/>
      <queryTableField id="7" name="SAP_Project_Number__c" tableColumnId="7"/>
      <queryTableField id="8" name="Clarity_Project_ID__c" tableColumnId="8"/>
      <queryTableField id="9" name="Services_Project_Manager__c" tableColumnId="9"/>
      <queryTableField id="10" name="System_AM_Email__c" tableColumnId="10"/>
      <queryTableField id="11" name="Sales_Support_Lead__c" tableColumnId="11"/>
      <queryTableField id="12" name="Solutions_Architect_Lead__c" tableColumnId="12"/>
      <queryTableField id="13" name="Opp_Parent_Account__c" tableColumnId="13"/>
      <queryTableField id="14" name="PM_Email__c" tableColumnId="14"/>
      <queryTableField id="15" name="Sales_Support_Lead_Email__c" tableColumnId="15"/>
      <queryTableField id="16" name="PPM_Lead_PSC__c" tableColumnId="16"/>
      <queryTableField id="17" name="PPM_Lead_SE__c" tableColumnId="17"/>
      <queryTableField id="18" name="Sales_Order__c" tableColumnId="18"/>
      <queryTableField id="20" name="PPM_Technical_Oversight__c" tableColumnId="20"/>
      <queryTableField id="21" name="PPM_Project_Manager__c" tableColumnId="19"/>
      <queryTableField id="22" name="PPM_PMO_Category__c" tableColumnId="2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3" xr16:uid="{3C936D6B-DAD8-4286-8BA5-A4EC3B4FBFC6}" autoFormatId="16" applyNumberFormats="0" applyBorderFormats="0" applyFontFormats="0" applyPatternFormats="0" applyAlignmentFormats="0" applyWidthHeightFormats="0">
  <queryTableRefresh nextId="31">
    <queryTableFields count="24">
      <queryTableField id="1" name="Id" tableColumnId="1"/>
      <queryTableField id="2" name="Name" tableColumnId="2"/>
      <queryTableField id="3" name="Account_Name__c" tableColumnId="3"/>
      <queryTableField id="4" name="BLUE_SIR_ID__c" tableColumnId="4"/>
      <queryTableField id="5" name="Clarity_Project_ID__c" tableColumnId="5"/>
      <queryTableField id="6" name="Customer_Number__c" tableColumnId="6"/>
      <queryTableField id="7" name="Opp_Num__c" tableColumnId="7"/>
      <queryTableField id="8" name="Opportunity__c" tableColumnId="8"/>
      <queryTableField id="9" name="SAP_Sales_Doc__c" tableColumnId="9"/>
      <queryTableField id="19" name="Solution_Stack_Status__c" tableColumnId="19"/>
      <queryTableField id="10" name="SAP_Jurisdiction_Code__c" tableColumnId="10"/>
      <queryTableField id="11" name="Jurisdiction_Name__c" tableColumnId="11"/>
      <queryTableField id="20" name="Material_All_Approved__c" tableColumnId="20"/>
      <queryTableField id="21" name="ORCL__c" tableColumnId="21"/>
      <queryTableField id="22" name="Document_Type__c" tableColumnId="22"/>
      <queryTableField id="12" name="Jurisdiction__c" tableColumnId="12"/>
      <queryTableField id="23" name="Preceding_Document__c" tableColumnId="23"/>
      <queryTableField id="13" name="SIR_Type__c" tableColumnId="13"/>
      <queryTableField id="14" name="Notification_Days__c" tableColumnId="14"/>
      <queryTableField id="15" name="Media_Notification_Period__c" tableColumnId="15"/>
      <queryTableField id="24" name="Opp_Number_Truncated__c" tableColumnId="24"/>
      <queryTableField id="16" name="ZJAM_EXC_Count__c" tableColumnId="16"/>
      <queryTableField id="17" name="ZJAM_PNH_Count__c" tableColumnId="17"/>
      <queryTableField id="18" name="Ticket__c" tableColumnId="1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2" xr16:uid="{1AEAF5D2-E31B-408B-B654-80CB4BE8E227}" autoFormatId="16" applyNumberFormats="0" applyBorderFormats="0" applyFontFormats="0" applyPatternFormats="0" applyAlignmentFormats="0" applyWidthHeightFormats="0">
  <queryTableRefresh nextId="41">
    <queryTableFields count="13">
      <queryTableField id="26" name="Id" tableColumnId="4"/>
      <queryTableField id="1" name="Name" tableColumnId="1"/>
      <queryTableField id="2" name="Account_Name__c" tableColumnId="2"/>
      <queryTableField id="29" name="Details__c" tableColumnId="8"/>
      <queryTableField id="30" name="Environment__c" tableColumnId="9"/>
      <queryTableField id="24" name="Project_Type__c" tableColumnId="3"/>
      <queryTableField id="31" name="Opportunity__c" tableColumnId="10"/>
      <queryTableField id="5" name="Opportunity_Number__c" tableColumnId="5"/>
      <queryTableField id="6" name="Project_ID__c" tableColumnId="6"/>
      <queryTableField id="32" name="Software_Stack_Approval_Status__c" tableColumnId="11"/>
      <queryTableField id="33" name="SystemServiceRegion__c" tableColumnId="12"/>
      <queryTableField id="34" name="PPM_Work_Status__c" tableColumnId="13"/>
      <queryTableField id="7" name="Project_Scope__c" tableColumnId="7"/>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642C876-B080-474B-955F-746F814B21BF}" name="Table10" displayName="Table10" ref="A5:D34" totalsRowShown="0" headerRowDxfId="77" headerRowBorderDxfId="76" tableBorderDxfId="75">
  <autoFilter ref="A5:D34" xr:uid="{A642C876-B080-474B-955F-746F814B21BF}">
    <filterColumn colId="0" hiddenButton="1"/>
    <filterColumn colId="1" hiddenButton="1"/>
    <filterColumn colId="2" hiddenButton="1"/>
    <filterColumn colId="3" hiddenButton="1"/>
  </autoFilter>
  <tableColumns count="4">
    <tableColumn id="1" xr3:uid="{6291ABA6-911E-4743-86D7-3E45A57C0E5F}" name="Problem #" dataDxfId="74">
      <calculatedColumnFormula array="1">IF(IFERROR(INDEX(Problem!A:A, ROW()-4), "") = "", "", IFERROR(INDEX(Problem!A:A, ROW()-4), ""))</calculatedColumnFormula>
    </tableColumn>
    <tableColumn id="2" xr3:uid="{2C542AF8-4B71-41E4-B6D2-438F7C82697D}" name="Version" dataDxfId="73"/>
    <tableColumn id="3" xr3:uid="{742A9F44-8CCD-44EC-99F2-04E9DEE7E978}" name="Subject" dataDxfId="72">
      <calculatedColumnFormula array="1">IF(IFERROR(INDEX(Problem!E:E, ROW()-4), "") = "", "", IFERROR(INDEX(Problem!E:E, ROW()-4), ""))</calculatedColumnFormula>
    </tableColumn>
    <tableColumn id="4" xr3:uid="{233A9DFB-27B8-4852-A196-9A4EE7EB5A17}" name="Delivery Notes" dataDxfId="71">
      <calculatedColumnFormula array="1">IF(IFERROR(INDEX(Problem!J:J, ROW()-4), "") = "", "", IFERROR(INDEX(Problem!J:J, ROW()-4),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6D16CA-93E0-48F9-B8E4-6E3FF31C3EFD}" name="Problem" displayName="Problem" ref="A1:J30" tableType="queryTable" totalsRowShown="0">
  <autoFilter ref="A1:J30" xr:uid="{3C6D16CA-93E0-48F9-B8E4-6E3FF31C3EFD}"/>
  <tableColumns count="10">
    <tableColumn id="1" xr3:uid="{5A891171-3F60-4FFF-9168-A5C42CDA529C}" uniqueName="1" name="Name" queryTableFieldId="1" dataDxfId="70"/>
    <tableColumn id="2" xr3:uid="{1022E860-FA7E-4E5B-9B8F-2CAD283D619B}" uniqueName="2" name="Details__c" queryTableFieldId="2" dataDxfId="69"/>
    <tableColumn id="3" xr3:uid="{688A808A-11E5-4C9A-AF89-C5B49A955FE8}" uniqueName="3" name="Product__c" queryTableFieldId="3" dataDxfId="68"/>
    <tableColumn id="4" xr3:uid="{3995DF0C-764C-459F-8DC9-763CA5FAD2C3}" uniqueName="4" name="Status__c" queryTableFieldId="4" dataDxfId="67"/>
    <tableColumn id="5" xr3:uid="{61687D16-17D5-4545-8051-A0C2FCED44B0}" uniqueName="5" name="Subject__c" queryTableFieldId="5" dataDxfId="66"/>
    <tableColumn id="6" xr3:uid="{9D0360C5-BDAA-4902-B8A5-6676550EE56B}" uniqueName="6" name="System__c" queryTableFieldId="6" dataDxfId="65"/>
    <tableColumn id="7" xr3:uid="{84A61E83-B512-414F-85FC-18ABA66579F1}" uniqueName="7" name="Fixed_in_Versions__c" queryTableFieldId="7" dataDxfId="64"/>
    <tableColumn id="8" xr3:uid="{F44C84BD-A614-4FBC-933C-546AAA6FAAD3}" uniqueName="8" name="Jira_URL__c" queryTableFieldId="8" dataDxfId="63"/>
    <tableColumn id="9" xr3:uid="{E57626E5-9FDF-42DC-837B-334C5EF13F6A}" uniqueName="9" name="Product_Build__c" queryTableFieldId="9" dataDxfId="62"/>
    <tableColumn id="10" xr3:uid="{25202662-4CA1-4346-AA47-4498CC2534E5}" uniqueName="10" name="Delivery_Notes__c" queryTableFieldId="10" dataDxfId="6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5A5DE00-E10A-49B8-8354-F0FBEE3B5902}" name="Account" displayName="Account" ref="A1:O2" tableType="queryTable" insertRow="1" totalsRowShown="0">
  <autoFilter ref="A1:O2" xr:uid="{65A5DE00-E10A-49B8-8354-F0FBEE3B5902}"/>
  <tableColumns count="15">
    <tableColumn id="1" xr3:uid="{13686325-493D-4A4A-9458-F6565A7AA4ED}" uniqueName="1" name="Name" queryTableFieldId="1" dataDxfId="60"/>
    <tableColumn id="15" xr3:uid="{60BA8911-E324-4CB9-A3F2-E3BECD3CB21A}" uniqueName="15" name="Systems_Account__c" queryTableFieldId="15" dataDxfId="59"/>
    <tableColumn id="2" xr3:uid="{8343D924-AC2A-4B9C-A49A-AA2661129EE5}" uniqueName="2" name="ParentId" queryTableFieldId="2" dataDxfId="58"/>
    <tableColumn id="3" xr3:uid="{A9B3D3CC-963D-490B-AE01-2044213752E1}" uniqueName="3" name="ShippingStreet" queryTableFieldId="3" dataDxfId="57"/>
    <tableColumn id="4" xr3:uid="{DE690BBE-32E6-498D-A7F0-45B8A1E4602F}" uniqueName="4" name="ShippingCity" queryTableFieldId="4" dataDxfId="56"/>
    <tableColumn id="5" xr3:uid="{7DBAB2B0-E3A9-44A0-B92B-9FDCB0A17331}" uniqueName="5" name="ShippingState" queryTableFieldId="5" dataDxfId="55"/>
    <tableColumn id="6" xr3:uid="{863E9CA5-3AD1-48B4-BB06-5A6786DB56B9}" uniqueName="6" name="ShippingPostalCode" queryTableFieldId="6" dataDxfId="54"/>
    <tableColumn id="7" xr3:uid="{F679445A-6F36-4867-A120-960E072460F1}" uniqueName="7" name="ShippingCountry" queryTableFieldId="7" dataDxfId="53"/>
    <tableColumn id="8" xr3:uid="{F2EA6AEA-DCD0-4A89-ABD7-70758D9F8599}" uniqueName="8" name="ShippingAddress" queryTableFieldId="8"/>
    <tableColumn id="9" xr3:uid="{0978FA67-A126-4F3F-BE93-BA1E84047825}" uniqueName="9" name="Phone" queryTableFieldId="9" dataDxfId="52"/>
    <tableColumn id="10" xr3:uid="{003C47DB-3EE0-44E8-B7AD-3AFC4607D519}" uniqueName="10" name="Website" queryTableFieldId="10" dataDxfId="51"/>
    <tableColumn id="11" xr3:uid="{79C47F90-BBA8-49F1-A876-1E49E6A1354F}" uniqueName="11" name="Physical_Time_Zone__c" queryTableFieldId="11" dataDxfId="50"/>
    <tableColumn id="12" xr3:uid="{44CCD5F1-BC9B-47F3-B361-BD3C642685FD}" uniqueName="12" name="Customer_Number__c" queryTableFieldId="12" dataDxfId="49"/>
    <tableColumn id="13" xr3:uid="{9C0753AC-2005-4E69-82E3-9DF7EB809E39}" uniqueName="13" name="Clarity_ID__c" queryTableFieldId="13" dataDxfId="48"/>
    <tableColumn id="14" xr3:uid="{BD0CA893-E5A8-4944-BB70-B1F4FED2DF24}" uniqueName="14" name="Tournament_Manager_System__c" queryTableFieldId="14" dataDxfId="4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1358C12-586B-4D7C-BA8B-4325D39C1A5E}" name="Opportunity" displayName="Opportunity" ref="A1:U2" tableType="queryTable" insertRow="1" totalsRowShown="0" dataDxfId="46">
  <autoFilter ref="A1:U2" xr:uid="{71358C12-586B-4D7C-BA8B-4325D39C1A5E}"/>
  <tableColumns count="21">
    <tableColumn id="1" xr3:uid="{1D858F6C-4FBC-4E00-B730-F2118F406ADD}" uniqueName="1" name="Name" queryTableFieldId="1" dataDxfId="45"/>
    <tableColumn id="2" xr3:uid="{68A667CC-1337-4B87-95AC-5E3D5E7E428D}" uniqueName="2" name="Description" queryTableFieldId="2" dataDxfId="44"/>
    <tableColumn id="3" xr3:uid="{0B3A8E60-A4C0-4D4B-8C41-C5B69D4FB490}" uniqueName="3" name="Machine_Qty__c" queryTableFieldId="3" dataDxfId="43"/>
    <tableColumn id="4" xr3:uid="{5A0C847B-C8F7-45D8-98C9-4CA464677753}" uniqueName="4" name="Install_Date__c" queryTableFieldId="4" dataDxfId="42"/>
    <tableColumn id="5" xr3:uid="{9E6B6A97-588B-460A-B240-B6BFD025F7C0}" uniqueName="5" name="Customer_Number__c" queryTableFieldId="5" dataDxfId="41"/>
    <tableColumn id="6" xr3:uid="{D9919D08-AD38-4DC8-B73E-1908A0574FD1}" uniqueName="6" name="Opp_Num__c" queryTableFieldId="6" dataDxfId="40"/>
    <tableColumn id="7" xr3:uid="{7BB1630B-48E3-4BEF-A937-ED1BE56285AD}" uniqueName="7" name="SAP_Project_Number__c" queryTableFieldId="7" dataDxfId="39"/>
    <tableColumn id="8" xr3:uid="{047E317A-ED26-4F48-A6D1-CDB9D27F4278}" uniqueName="8" name="Clarity_Project_ID__c" queryTableFieldId="8" dataDxfId="38"/>
    <tableColumn id="9" xr3:uid="{2D59E889-649C-4383-B8C6-224ED22EDD3E}" uniqueName="9" name="Services_Project_Manager__c" queryTableFieldId="9" dataDxfId="37"/>
    <tableColumn id="10" xr3:uid="{46B9C6CD-666B-4597-9AF3-3A75BE118FEB}" uniqueName="10" name="System_AM_Email__c" queryTableFieldId="10" dataDxfId="36"/>
    <tableColumn id="11" xr3:uid="{0BD09D4F-D796-4784-93F0-0CDE0BA41A25}" uniqueName="11" name="Sales_Support_Lead__c" queryTableFieldId="11" dataDxfId="35"/>
    <tableColumn id="12" xr3:uid="{C870CFF6-9890-4C3B-AF60-9DFDEA11F4CE}" uniqueName="12" name="Solutions_Architect_Lead__c" queryTableFieldId="12" dataDxfId="34"/>
    <tableColumn id="13" xr3:uid="{5F881D17-4514-43E3-9D4D-37F9ECF35509}" uniqueName="13" name="Opp_Parent_Account__c" queryTableFieldId="13" dataDxfId="33"/>
    <tableColumn id="14" xr3:uid="{69CE09C6-C1DB-4619-8EA5-FD93AE5409FD}" uniqueName="14" name="PM_Email__c" queryTableFieldId="14" dataDxfId="32"/>
    <tableColumn id="15" xr3:uid="{A476C3F2-8393-4E45-8C61-91B1960154EF}" uniqueName="15" name="Sales_Support_Lead_Email__c" queryTableFieldId="15" dataDxfId="31"/>
    <tableColumn id="16" xr3:uid="{D244733C-4E1A-4219-873D-1CA36369A87B}" uniqueName="16" name="PPM_Lead_PSC__c" queryTableFieldId="16" dataDxfId="30"/>
    <tableColumn id="17" xr3:uid="{B98826E3-C292-4413-ACA0-84E4B38B9731}" uniqueName="17" name="PPM_Lead_SE__c" queryTableFieldId="17" dataDxfId="29"/>
    <tableColumn id="18" xr3:uid="{698875A5-023F-42DD-B1BC-10CBA7E4DDD4}" uniqueName="18" name="Sales_Order__c" queryTableFieldId="18" dataDxfId="28"/>
    <tableColumn id="20" xr3:uid="{27972A8C-4BC7-467A-A4B3-8EAD365664F3}" uniqueName="20" name="PPM_Technical_Oversight__c" queryTableFieldId="20" dataDxfId="27"/>
    <tableColumn id="19" xr3:uid="{9A8FACE1-563F-4C57-A6AB-22CFA9015F4E}" uniqueName="19" name="PPM_Project_Manager__c" queryTableFieldId="21"/>
    <tableColumn id="21" xr3:uid="{58983132-EB26-4BA8-B31F-530A4F167AB2}" uniqueName="21" name="PPM_PMO_Category__c" queryTableFieldId="2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F3423F1-8A62-482C-840C-10BA8711E8BC}" name="IGT_Solution_Stack" displayName="IGT_Solution_Stack" ref="A1:X2" tableType="queryTable" totalsRowShown="0">
  <autoFilter ref="A1:X2" xr:uid="{1F3423F1-8A62-482C-840C-10BA8711E8BC}"/>
  <tableColumns count="24">
    <tableColumn id="1" xr3:uid="{6058C1D4-04F6-4733-BF62-FEBF8CFF3305}" uniqueName="1" name="Id" queryTableFieldId="1" dataDxfId="26"/>
    <tableColumn id="2" xr3:uid="{370867EB-CA40-41CE-BDEC-4F4D47B47054}" uniqueName="2" name="Name" queryTableFieldId="2" dataDxfId="25"/>
    <tableColumn id="3" xr3:uid="{52592FEE-A9D1-4C2C-987A-B970DD52EC82}" uniqueName="3" name="Account_Name__c" queryTableFieldId="3" dataDxfId="24"/>
    <tableColumn id="4" xr3:uid="{AA53E215-8868-4A42-99F6-763956057EBB}" uniqueName="4" name="BLUE_SIR_ID__c" queryTableFieldId="4" dataDxfId="23"/>
    <tableColumn id="5" xr3:uid="{65476B42-0755-464E-ADFB-7187612EF82A}" uniqueName="5" name="Clarity_Project_ID__c" queryTableFieldId="5" dataDxfId="22"/>
    <tableColumn id="6" xr3:uid="{BD1B0F65-217C-4CBC-80FC-2B7FD8574C4D}" uniqueName="6" name="Customer_Number__c" queryTableFieldId="6" dataDxfId="21"/>
    <tableColumn id="7" xr3:uid="{6DC74899-C4F9-4AE7-A337-817BD8DE9EE4}" uniqueName="7" name="Opp_Num__c" queryTableFieldId="7" dataDxfId="20"/>
    <tableColumn id="8" xr3:uid="{425D5B2F-F0A4-4018-BE61-B3D1B2CFFA14}" uniqueName="8" name="Opportunity__c" queryTableFieldId="8" dataDxfId="19"/>
    <tableColumn id="9" xr3:uid="{BF2D0012-E00A-4318-AC1C-D4EC9C852F09}" uniqueName="9" name="SAP_Sales_Doc__c" queryTableFieldId="9" dataDxfId="18"/>
    <tableColumn id="19" xr3:uid="{3B7F0EBA-300B-416C-BC03-2BEC96874788}" uniqueName="19" name="Solution_Stack_Status__c" queryTableFieldId="19" dataDxfId="17"/>
    <tableColumn id="10" xr3:uid="{B3381D0A-AB03-4BE4-B175-045036C5EB00}" uniqueName="10" name="SAP_Jurisdiction_Code__c" queryTableFieldId="10" dataDxfId="16"/>
    <tableColumn id="11" xr3:uid="{98306560-1C16-4159-AC77-34E3C4E7E873}" uniqueName="11" name="Jurisdiction_Name__c" queryTableFieldId="11" dataDxfId="15"/>
    <tableColumn id="20" xr3:uid="{69127C30-BC7D-42A3-8585-A9358D56772C}" uniqueName="20" name="Material_All_Approved__c" queryTableFieldId="20"/>
    <tableColumn id="21" xr3:uid="{403F77FE-584E-472B-8E72-A40E54178027}" uniqueName="21" name="ORCL__c" queryTableFieldId="21" dataDxfId="14"/>
    <tableColumn id="22" xr3:uid="{FEDD0FE1-55AD-4C1D-AF36-99CA0747A44C}" uniqueName="22" name="Document_Type__c" queryTableFieldId="22" dataDxfId="13"/>
    <tableColumn id="12" xr3:uid="{59371779-2DA3-47BE-8533-9E18962D9667}" uniqueName="12" name="Jurisdiction__c" queryTableFieldId="12" dataDxfId="12"/>
    <tableColumn id="23" xr3:uid="{0578F1F4-3DCC-4606-980D-2E6DFBA95B94}" uniqueName="23" name="Preceding_Document__c" queryTableFieldId="23" dataDxfId="11"/>
    <tableColumn id="13" xr3:uid="{0078BEF2-1C76-4B8B-A0AD-289DE514D6B8}" uniqueName="13" name="SIR_Type__c" queryTableFieldId="13" dataDxfId="10"/>
    <tableColumn id="14" xr3:uid="{2467D849-6FC4-4A92-BA1B-0FFA2BF21E4A}" uniqueName="14" name="Notification_Days__c" queryTableFieldId="14"/>
    <tableColumn id="15" xr3:uid="{90B56802-ABBB-4B3C-9F81-DF4991E3049F}" uniqueName="15" name="Media_Notification_Period__c" queryTableFieldId="15" dataDxfId="9"/>
    <tableColumn id="24" xr3:uid="{C0D660D1-04F6-40C6-AB9F-1065A8A74B0B}" uniqueName="24" name="Opp_Number_Truncated__c" queryTableFieldId="24" dataDxfId="8"/>
    <tableColumn id="16" xr3:uid="{14ABCE95-8501-42C8-BFE8-9044E949797C}" uniqueName="16" name="ZJAM_EXC_Count__c" queryTableFieldId="16"/>
    <tableColumn id="17" xr3:uid="{501C6DD8-D1E6-4319-8E4D-76B6F65716A4}" uniqueName="17" name="ZJAM_PNH_Count__c" queryTableFieldId="17"/>
    <tableColumn id="18" xr3:uid="{ED868921-3B64-4672-A9AE-80B26771BDA3}" uniqueName="18" name="Ticket__c" queryTableFieldId="18" dataDxfId="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E5E644-4E50-4AB3-B9CC-F05B573C908C}" name="ChangeRequest" displayName="ChangeRequest" ref="A1:M2" tableType="queryTable" insertRow="1" totalsRowShown="0" headerRowDxfId="6" dataDxfId="5">
  <autoFilter ref="A1:M2" xr:uid="{29E5E644-4E50-4AB3-B9CC-F05B573C908C}"/>
  <tableColumns count="13">
    <tableColumn id="4" xr3:uid="{906187E7-4A9F-4C51-92A5-7397FDD64BF9}" uniqueName="4" name="Id" queryTableFieldId="26"/>
    <tableColumn id="1" xr3:uid="{26668F09-903B-4C01-BB3C-0D6445C4D039}" uniqueName="1" name="Name" queryTableFieldId="1" dataDxfId="4"/>
    <tableColumn id="2" xr3:uid="{1633BF6E-F1BC-454F-9D3A-2031A88E7C18}" uniqueName="2" name="Account_Name__c" queryTableFieldId="2" dataDxfId="3"/>
    <tableColumn id="8" xr3:uid="{23F4A815-B738-4B4C-AF2F-CF5BB56092EC}" uniqueName="8" name="Details__c" queryTableFieldId="29"/>
    <tableColumn id="9" xr3:uid="{2CF373EB-668C-414B-B7F3-C3644B6AF1F7}" uniqueName="9" name="Environment__c" queryTableFieldId="30"/>
    <tableColumn id="3" xr3:uid="{ACDD385F-9B61-4B11-8340-27669F503F12}" uniqueName="3" name="Project_Type__c" queryTableFieldId="24"/>
    <tableColumn id="10" xr3:uid="{32D1F21F-59A9-4839-885A-B59A284C2278}" uniqueName="10" name="Opportunity__c" queryTableFieldId="31"/>
    <tableColumn id="5" xr3:uid="{FCC9A20D-4E28-410D-AE2B-137584A5C9FF}" uniqueName="5" name="Opportunity_Number__c" queryTableFieldId="5" dataDxfId="2"/>
    <tableColumn id="6" xr3:uid="{FB11EF4D-F0BA-4142-A6BC-2FB6324F6A12}" uniqueName="6" name="Project_ID__c" queryTableFieldId="6" dataDxfId="1"/>
    <tableColumn id="11" xr3:uid="{C3526EF8-D31F-419E-BFCA-7531773D7D38}" uniqueName="11" name="Software_Stack_Approval_Status__c" queryTableFieldId="32"/>
    <tableColumn id="12" xr3:uid="{CA39A9A4-89D5-414F-BBCD-3CDEC2DB287F}" uniqueName="12" name="SystemServiceRegion__c" queryTableFieldId="33"/>
    <tableColumn id="13" xr3:uid="{78CE44D6-9992-4CA2-9A84-F5AFC0D311CE}" uniqueName="13" name="PPM_Work_Status__c" queryTableFieldId="34"/>
    <tableColumn id="7" xr3:uid="{D191E4EE-3B00-4B65-A4D1-093DBA48BE1C}" uniqueName="7" name="Project_Scope__c" queryTableFieldId="7"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1B8B4-583B-42A2-9642-0953EF5AECDC}">
  <sheetPr codeName="Sheet1">
    <pageSetUpPr fitToPage="1"/>
  </sheetPr>
  <dimension ref="A1:J65"/>
  <sheetViews>
    <sheetView tabSelected="1" workbookViewId="0">
      <selection activeCell="F5" sqref="F5"/>
    </sheetView>
  </sheetViews>
  <sheetFormatPr defaultRowHeight="14.25" x14ac:dyDescent="0.2"/>
  <cols>
    <col min="1" max="1" width="32.140625" style="1" customWidth="1"/>
    <col min="2" max="2" width="25.140625" style="1" bestFit="1" customWidth="1"/>
    <col min="3" max="3" width="18.85546875" style="1" bestFit="1" customWidth="1"/>
    <col min="4" max="4" width="9.140625" style="1"/>
    <col min="5" max="5" width="10.7109375" style="1" bestFit="1" customWidth="1"/>
    <col min="6" max="6" width="7.7109375" style="1" customWidth="1"/>
    <col min="7" max="7" width="14.7109375" style="1" customWidth="1"/>
    <col min="8" max="8" width="14.85546875" style="1" customWidth="1"/>
    <col min="9" max="9" width="14.140625" style="1" customWidth="1"/>
    <col min="10" max="16384" width="9.140625" style="1"/>
  </cols>
  <sheetData>
    <row r="1" spans="1:9" ht="102" customHeight="1" thickBot="1" x14ac:dyDescent="0.45">
      <c r="A1" s="81" t="str">
        <f xml:space="preserve"> "Tournament Manager Technical Plan - " &amp; Welcome!B7</f>
        <v xml:space="preserve">Tournament Manager Technical Plan - </v>
      </c>
      <c r="B1" s="82"/>
      <c r="C1" s="82"/>
      <c r="D1" s="82"/>
      <c r="E1" s="82"/>
      <c r="F1" s="82"/>
      <c r="G1" s="82"/>
      <c r="H1" s="82"/>
      <c r="I1" s="83"/>
    </row>
    <row r="2" spans="1:9" ht="6.75" customHeight="1" thickBot="1" x14ac:dyDescent="0.25">
      <c r="A2" s="94"/>
      <c r="B2" s="95"/>
      <c r="C2" s="95"/>
      <c r="D2" s="95"/>
      <c r="E2" s="95"/>
      <c r="F2" s="95"/>
      <c r="G2" s="95"/>
      <c r="H2" s="95"/>
      <c r="I2" s="96"/>
    </row>
    <row r="3" spans="1:9" ht="27.75" thickBot="1" x14ac:dyDescent="0.4">
      <c r="A3" s="84" t="s">
        <v>0</v>
      </c>
      <c r="B3" s="85"/>
      <c r="C3" s="85"/>
      <c r="D3" s="85"/>
      <c r="E3" s="85"/>
      <c r="F3" s="85"/>
      <c r="G3" s="85"/>
      <c r="H3" s="85"/>
      <c r="I3" s="86"/>
    </row>
    <row r="4" spans="1:9" ht="6.75" customHeight="1" thickBot="1" x14ac:dyDescent="0.25">
      <c r="A4" s="94"/>
      <c r="B4" s="95"/>
      <c r="C4" s="95"/>
      <c r="D4" s="95"/>
      <c r="E4" s="95"/>
      <c r="F4" s="95"/>
      <c r="G4" s="97"/>
      <c r="H4" s="97"/>
      <c r="I4" s="98"/>
    </row>
    <row r="5" spans="1:9" ht="15.75" x14ac:dyDescent="0.25">
      <c r="A5" s="2" t="s">
        <v>305</v>
      </c>
      <c r="B5" t="str" cm="1">
        <f t="array" ref="B5">IF(ISBLANK(ChangeRequest[Name]), "",ChangeRequest[Name])</f>
        <v/>
      </c>
      <c r="C5" s="2" t="s">
        <v>310</v>
      </c>
      <c r="D5" s="109"/>
      <c r="E5" s="110"/>
      <c r="F5" s="17"/>
      <c r="G5" s="89" t="s">
        <v>1</v>
      </c>
      <c r="H5" s="90"/>
      <c r="I5" s="41"/>
    </row>
    <row r="6" spans="1:9" ht="15" x14ac:dyDescent="0.2">
      <c r="A6" s="4" t="s">
        <v>306</v>
      </c>
      <c r="B6" s="15"/>
      <c r="C6" s="91"/>
      <c r="D6" s="92"/>
      <c r="E6" s="93"/>
      <c r="F6" s="3"/>
      <c r="G6" s="87" t="s">
        <v>2</v>
      </c>
      <c r="H6" s="88"/>
      <c r="I6" s="42"/>
    </row>
    <row r="7" spans="1:9" ht="15" x14ac:dyDescent="0.2">
      <c r="A7" s="5" t="s">
        <v>307</v>
      </c>
      <c r="B7" s="99" t="str">
        <f>IF(ISBLANK(Account!A2), "", Account!A2)</f>
        <v/>
      </c>
      <c r="C7" s="65"/>
      <c r="D7" s="65"/>
      <c r="E7" s="100"/>
      <c r="F7" s="3"/>
      <c r="G7" s="58" t="s">
        <v>4</v>
      </c>
      <c r="H7" s="59"/>
      <c r="I7" s="19"/>
    </row>
    <row r="8" spans="1:9" ht="15.75" thickBot="1" x14ac:dyDescent="0.25">
      <c r="A8" s="6" t="s">
        <v>5</v>
      </c>
      <c r="B8" s="103"/>
      <c r="C8" s="103"/>
      <c r="D8" s="103"/>
      <c r="E8" s="104"/>
      <c r="F8" s="18"/>
      <c r="G8" s="105" t="s">
        <v>6</v>
      </c>
      <c r="H8" s="106"/>
      <c r="I8" s="43"/>
    </row>
    <row r="9" spans="1:9" ht="15" x14ac:dyDescent="0.2">
      <c r="A9" s="107"/>
      <c r="B9" s="108"/>
      <c r="C9" s="108"/>
      <c r="D9" s="108"/>
      <c r="E9" s="108"/>
      <c r="F9" s="18">
        <v>45380</v>
      </c>
      <c r="G9" s="101" t="s">
        <v>7</v>
      </c>
      <c r="H9" s="102"/>
      <c r="I9" s="19"/>
    </row>
    <row r="10" spans="1:9" ht="15.75" customHeight="1" x14ac:dyDescent="0.2">
      <c r="A10" s="7" t="s">
        <v>9</v>
      </c>
      <c r="B10" s="56"/>
      <c r="C10" s="56"/>
      <c r="D10" s="56"/>
      <c r="E10" s="57"/>
      <c r="F10" s="17"/>
      <c r="G10" s="58" t="s">
        <v>10</v>
      </c>
      <c r="H10" s="59"/>
    </row>
    <row r="11" spans="1:9" ht="15" x14ac:dyDescent="0.2">
      <c r="A11" s="8" t="s">
        <v>11</v>
      </c>
      <c r="B11" s="54" t="str">
        <f>IF(ISBLANK(Account!D2), "", Account!D2)</f>
        <v/>
      </c>
      <c r="C11" s="54"/>
      <c r="D11" s="54"/>
      <c r="E11" s="55"/>
      <c r="G11" s="13" t="s">
        <v>12</v>
      </c>
      <c r="H11" s="60"/>
      <c r="I11" s="61"/>
    </row>
    <row r="12" spans="1:9" ht="16.5" customHeight="1" x14ac:dyDescent="0.2">
      <c r="A12" s="8" t="s">
        <v>13</v>
      </c>
      <c r="B12" s="54" t="str">
        <f>IF(ISBLANK(Account!E2), "", Account!E2)</f>
        <v/>
      </c>
      <c r="C12" s="54"/>
      <c r="D12" s="54"/>
      <c r="E12" s="55"/>
      <c r="F12" s="17" cm="1">
        <f t="array" ref="F12">Account[Systems_Account__c]</f>
        <v>0</v>
      </c>
      <c r="G12" s="64" t="s">
        <v>304</v>
      </c>
      <c r="H12" s="65"/>
      <c r="I12" s="53" t="str" cm="1">
        <f t="array" ref="I12">IF(ISBLANK(Opportunity[Install_Date__c]), "",Opportunity[Install_Date__c])</f>
        <v/>
      </c>
    </row>
    <row r="13" spans="1:9" ht="15" x14ac:dyDescent="0.2">
      <c r="A13" s="8" t="s">
        <v>14</v>
      </c>
      <c r="B13" s="54" t="str">
        <f>IF(ISBLANK(Account!F2), "", Account!F2)</f>
        <v/>
      </c>
      <c r="C13" s="54"/>
      <c r="D13" s="54"/>
      <c r="E13" s="55"/>
      <c r="F13" s="17"/>
      <c r="G13" s="62" t="s">
        <v>15</v>
      </c>
      <c r="H13" s="63"/>
      <c r="I13" s="9"/>
    </row>
    <row r="14" spans="1:9" ht="15.75" customHeight="1" x14ac:dyDescent="0.2">
      <c r="A14" s="10" t="s">
        <v>17</v>
      </c>
      <c r="B14" s="68" t="str">
        <f>IF(ISBLANK(Account!G2), "", Account!G2)</f>
        <v/>
      </c>
      <c r="C14" s="68"/>
      <c r="D14" s="68"/>
      <c r="E14" s="69"/>
      <c r="F14" s="17"/>
      <c r="G14" s="66" t="s">
        <v>18</v>
      </c>
      <c r="H14" s="67"/>
      <c r="I14" s="28"/>
    </row>
    <row r="15" spans="1:9" ht="18.75" thickBot="1" x14ac:dyDescent="0.25">
      <c r="A15" s="70" t="s">
        <v>19</v>
      </c>
      <c r="B15" s="71"/>
      <c r="C15" s="72"/>
      <c r="D15" s="73" t="s">
        <v>20</v>
      </c>
      <c r="E15" s="74"/>
      <c r="F15" s="74"/>
      <c r="G15" s="72" t="str">
        <f>IF(ISBLANK('Change Request'!F2), "", 'Change Request'!F2)</f>
        <v/>
      </c>
      <c r="H15" s="72"/>
      <c r="I15" s="29"/>
    </row>
    <row r="16" spans="1:9" ht="15.75" customHeight="1" x14ac:dyDescent="0.2">
      <c r="A16" s="35" t="s">
        <v>21</v>
      </c>
      <c r="B16" s="37" t="str" cm="1">
        <f t="array" ref="B16">IF(ISBLANK(Opportunity[PPM_Lead_SE__c]), "",Opportunity[PPM_Lead_SE__c])</f>
        <v/>
      </c>
      <c r="C16" s="75"/>
      <c r="D16" s="76"/>
      <c r="E16" s="76"/>
      <c r="F16" s="76"/>
      <c r="G16" s="35" t="s">
        <v>22</v>
      </c>
      <c r="H16" s="36"/>
      <c r="I16" s="31"/>
    </row>
    <row r="17" spans="1:9" ht="15" customHeight="1" x14ac:dyDescent="0.2">
      <c r="A17" s="34" t="s">
        <v>23</v>
      </c>
      <c r="B17" s="38" t="str" cm="1">
        <f t="array" ref="B17">IF(ISBLANK(Opportunity[PPM_Project_Manager__c]), "",Opportunity[PPM_Project_Manager__c])</f>
        <v/>
      </c>
      <c r="C17" s="77"/>
      <c r="D17" s="78"/>
      <c r="E17" s="78"/>
      <c r="F17" s="78"/>
      <c r="G17" s="30" t="s">
        <v>24</v>
      </c>
      <c r="H17" s="30"/>
      <c r="I17" s="31"/>
    </row>
    <row r="18" spans="1:9" ht="16.5" customHeight="1" thickBot="1" x14ac:dyDescent="0.25">
      <c r="A18" s="39" t="s">
        <v>25</v>
      </c>
      <c r="B18" s="40" t="str" cm="1">
        <f t="array" ref="B18">IF(ISBLANK(Opportunity[PPM_Lead_PSC__c]), "",Opportunity[PPM_Lead_PSC__c])</f>
        <v/>
      </c>
      <c r="C18" s="79"/>
      <c r="D18" s="80"/>
      <c r="E18" s="80"/>
      <c r="F18" s="80"/>
      <c r="G18" s="32" t="s">
        <v>26</v>
      </c>
      <c r="H18" s="32"/>
      <c r="I18" s="33"/>
    </row>
    <row r="19" spans="1:9" s="11" customFormat="1" x14ac:dyDescent="0.2">
      <c r="A19" s="44"/>
      <c r="B19" s="45"/>
      <c r="C19" s="46"/>
      <c r="D19" s="46"/>
      <c r="E19" s="46"/>
      <c r="F19" s="46"/>
      <c r="G19" s="46"/>
      <c r="H19" s="46"/>
      <c r="I19" s="47"/>
    </row>
    <row r="20" spans="1:9" ht="15" customHeight="1" x14ac:dyDescent="0.2">
      <c r="A20" s="44" t="s">
        <v>8</v>
      </c>
      <c r="B20" s="45">
        <v>6.2</v>
      </c>
      <c r="C20" s="45" t="s">
        <v>27</v>
      </c>
      <c r="D20" s="45" t="s">
        <v>16</v>
      </c>
      <c r="E20" s="45" t="s">
        <v>28</v>
      </c>
      <c r="F20" s="45" t="s">
        <v>29</v>
      </c>
      <c r="G20" s="45" t="s">
        <v>30</v>
      </c>
      <c r="H20" s="45"/>
      <c r="I20" s="48"/>
    </row>
    <row r="21" spans="1:9" ht="15.75" customHeight="1" x14ac:dyDescent="0.2">
      <c r="A21" s="44" t="s">
        <v>3</v>
      </c>
      <c r="B21" s="45">
        <v>6.3</v>
      </c>
      <c r="C21" s="45" t="s">
        <v>31</v>
      </c>
      <c r="D21" s="45" t="s">
        <v>32</v>
      </c>
      <c r="E21" s="45" t="s">
        <v>33</v>
      </c>
      <c r="F21" s="45" t="s">
        <v>34</v>
      </c>
      <c r="G21" s="45" t="s">
        <v>35</v>
      </c>
      <c r="H21" s="45"/>
      <c r="I21" s="48"/>
    </row>
    <row r="22" spans="1:9" x14ac:dyDescent="0.2">
      <c r="A22" s="44"/>
      <c r="B22" s="45"/>
      <c r="C22" s="45" t="s">
        <v>36</v>
      </c>
      <c r="D22" s="45"/>
      <c r="E22" s="45"/>
      <c r="F22" s="45"/>
      <c r="G22" s="45" t="s">
        <v>37</v>
      </c>
      <c r="H22" s="45"/>
      <c r="I22" s="48"/>
    </row>
    <row r="23" spans="1:9" ht="15" customHeight="1" x14ac:dyDescent="0.2">
      <c r="A23" s="44"/>
      <c r="B23" s="45" t="s">
        <v>308</v>
      </c>
      <c r="C23" s="45" t="s">
        <v>38</v>
      </c>
      <c r="D23" s="45"/>
      <c r="E23" s="45"/>
      <c r="F23" s="45"/>
      <c r="G23" s="45" t="s">
        <v>39</v>
      </c>
      <c r="H23" s="45" t="s">
        <v>309</v>
      </c>
      <c r="I23" s="48"/>
    </row>
    <row r="24" spans="1:9" ht="15.75" customHeight="1" thickBot="1" x14ac:dyDescent="0.25">
      <c r="A24" s="49"/>
      <c r="B24" s="50"/>
      <c r="C24" s="50" t="s">
        <v>40</v>
      </c>
      <c r="D24" s="50"/>
      <c r="E24" s="50"/>
      <c r="F24" s="50"/>
      <c r="G24" s="50"/>
      <c r="H24" s="50"/>
      <c r="I24" s="51" t="str" cm="1">
        <f t="array" ref="I24">IF(ISBLANK(Opportunity[PPM_PMO_Category__c]), "",Opportunity[PPM_PMO_Category__c])</f>
        <v/>
      </c>
    </row>
    <row r="25" spans="1:9" ht="15.75" customHeight="1" x14ac:dyDescent="0.2">
      <c r="A25" s="1" t="s">
        <v>26</v>
      </c>
    </row>
    <row r="26" spans="1:9" ht="18.75" customHeight="1" x14ac:dyDescent="0.25">
      <c r="A26" s="1" t="s">
        <v>41</v>
      </c>
      <c r="C26" s="52" t="s">
        <v>42</v>
      </c>
    </row>
    <row r="27" spans="1:9" ht="15" customHeight="1" x14ac:dyDescent="0.25">
      <c r="A27" s="1" t="s">
        <v>43</v>
      </c>
      <c r="C27" s="52" t="s">
        <v>44</v>
      </c>
    </row>
    <row r="28" spans="1:9" ht="15" customHeight="1" x14ac:dyDescent="0.25">
      <c r="A28" s="1" t="s">
        <v>45</v>
      </c>
      <c r="B28" s="17" cm="1">
        <f t="array" ref="B28">Account[Systems_Account__c]</f>
        <v>0</v>
      </c>
      <c r="C28" s="52" t="s">
        <v>46</v>
      </c>
    </row>
    <row r="29" spans="1:9" ht="15" customHeight="1" x14ac:dyDescent="0.25">
      <c r="A29" s="1" t="s">
        <v>47</v>
      </c>
      <c r="C29" s="52" t="s">
        <v>48</v>
      </c>
    </row>
    <row r="30" spans="1:9" ht="15" customHeight="1" x14ac:dyDescent="0.25">
      <c r="A30" s="1" t="s">
        <v>49</v>
      </c>
      <c r="C30" s="52" t="s">
        <v>50</v>
      </c>
    </row>
    <row r="31" spans="1:9" ht="15" customHeight="1" x14ac:dyDescent="0.25">
      <c r="C31" s="52" t="s">
        <v>51</v>
      </c>
    </row>
    <row r="32" spans="1:9" ht="15" customHeight="1" x14ac:dyDescent="0.25">
      <c r="C32" s="52" t="s">
        <v>52</v>
      </c>
    </row>
    <row r="33" spans="3:10" ht="15" customHeight="1" x14ac:dyDescent="0.25">
      <c r="C33" s="52" t="s">
        <v>53</v>
      </c>
    </row>
    <row r="34" spans="3:10" ht="15" customHeight="1" x14ac:dyDescent="0.25">
      <c r="C34" s="52" t="s">
        <v>35</v>
      </c>
    </row>
    <row r="35" spans="3:10" ht="15" x14ac:dyDescent="0.25">
      <c r="C35" s="52" t="s">
        <v>54</v>
      </c>
    </row>
    <row r="36" spans="3:10" ht="15" x14ac:dyDescent="0.25">
      <c r="C36" s="52" t="s">
        <v>55</v>
      </c>
      <c r="J36" s="16"/>
    </row>
    <row r="37" spans="3:10" ht="15" x14ac:dyDescent="0.25">
      <c r="C37" s="52" t="s">
        <v>56</v>
      </c>
      <c r="J37" s="16"/>
    </row>
    <row r="38" spans="3:10" ht="15" x14ac:dyDescent="0.25">
      <c r="C38" s="52" t="s">
        <v>39</v>
      </c>
      <c r="J38" s="16"/>
    </row>
    <row r="39" spans="3:10" ht="15" x14ac:dyDescent="0.25">
      <c r="C39" s="52" t="s">
        <v>57</v>
      </c>
      <c r="J39" s="16"/>
    </row>
    <row r="40" spans="3:10" ht="15" x14ac:dyDescent="0.25">
      <c r="C40" s="52" t="s">
        <v>58</v>
      </c>
      <c r="J40" s="16"/>
    </row>
    <row r="41" spans="3:10" ht="15" x14ac:dyDescent="0.25">
      <c r="C41" s="52" t="s">
        <v>59</v>
      </c>
      <c r="J41" s="16"/>
    </row>
    <row r="42" spans="3:10" ht="15" x14ac:dyDescent="0.25">
      <c r="C42" s="52" t="s">
        <v>60</v>
      </c>
    </row>
    <row r="43" spans="3:10" ht="15" x14ac:dyDescent="0.25">
      <c r="C43" s="52" t="s">
        <v>61</v>
      </c>
    </row>
    <row r="44" spans="3:10" ht="15" x14ac:dyDescent="0.25">
      <c r="C44" s="52" t="s">
        <v>62</v>
      </c>
    </row>
    <row r="45" spans="3:10" ht="15" x14ac:dyDescent="0.25">
      <c r="C45" s="52" t="s">
        <v>63</v>
      </c>
    </row>
    <row r="46" spans="3:10" ht="15" x14ac:dyDescent="0.25">
      <c r="C46" s="52" t="s">
        <v>64</v>
      </c>
    </row>
    <row r="47" spans="3:10" ht="15" x14ac:dyDescent="0.25">
      <c r="C47" s="52" t="s">
        <v>65</v>
      </c>
    </row>
    <row r="48" spans="3:10" ht="15" x14ac:dyDescent="0.25">
      <c r="C48" s="52" t="s">
        <v>66</v>
      </c>
    </row>
    <row r="49" spans="3:3" ht="15" x14ac:dyDescent="0.25">
      <c r="C49" s="52" t="s">
        <v>67</v>
      </c>
    </row>
    <row r="50" spans="3:3" ht="15" x14ac:dyDescent="0.25">
      <c r="C50" s="52" t="s">
        <v>68</v>
      </c>
    </row>
    <row r="51" spans="3:3" ht="15" x14ac:dyDescent="0.25">
      <c r="C51" s="52" t="s">
        <v>69</v>
      </c>
    </row>
    <row r="52" spans="3:3" ht="15" x14ac:dyDescent="0.25">
      <c r="C52" s="52" t="s">
        <v>70</v>
      </c>
    </row>
    <row r="53" spans="3:3" ht="15" x14ac:dyDescent="0.25">
      <c r="C53" s="52" t="s">
        <v>71</v>
      </c>
    </row>
    <row r="54" spans="3:3" ht="15" x14ac:dyDescent="0.25">
      <c r="C54" s="52" t="s">
        <v>72</v>
      </c>
    </row>
    <row r="55" spans="3:3" ht="15" x14ac:dyDescent="0.25">
      <c r="C55" s="52" t="s">
        <v>73</v>
      </c>
    </row>
    <row r="56" spans="3:3" ht="15" x14ac:dyDescent="0.25">
      <c r="C56" s="52" t="s">
        <v>74</v>
      </c>
    </row>
    <row r="57" spans="3:3" ht="15" x14ac:dyDescent="0.25">
      <c r="C57" s="52" t="s">
        <v>75</v>
      </c>
    </row>
    <row r="58" spans="3:3" ht="15" x14ac:dyDescent="0.25">
      <c r="C58" s="52" t="s">
        <v>76</v>
      </c>
    </row>
    <row r="59" spans="3:3" ht="15" x14ac:dyDescent="0.25">
      <c r="C59" s="52" t="s">
        <v>77</v>
      </c>
    </row>
    <row r="60" spans="3:3" ht="15" x14ac:dyDescent="0.25">
      <c r="C60" s="52" t="s">
        <v>78</v>
      </c>
    </row>
    <row r="61" spans="3:3" ht="15" x14ac:dyDescent="0.25">
      <c r="C61" s="52" t="s">
        <v>79</v>
      </c>
    </row>
    <row r="62" spans="3:3" ht="15" x14ac:dyDescent="0.25">
      <c r="C62" s="52" t="s">
        <v>80</v>
      </c>
    </row>
    <row r="63" spans="3:3" ht="15" x14ac:dyDescent="0.25">
      <c r="C63" s="52" t="s">
        <v>81</v>
      </c>
    </row>
    <row r="64" spans="3:3" ht="15" x14ac:dyDescent="0.25">
      <c r="C64" s="52" t="s">
        <v>82</v>
      </c>
    </row>
    <row r="65" spans="3:3" ht="15" x14ac:dyDescent="0.25">
      <c r="C65" s="52" t="s">
        <v>83</v>
      </c>
    </row>
  </sheetData>
  <sheetProtection selectLockedCells="1"/>
  <mergeCells count="28">
    <mergeCell ref="C16:F18"/>
    <mergeCell ref="A1:I1"/>
    <mergeCell ref="A3:I3"/>
    <mergeCell ref="G6:H6"/>
    <mergeCell ref="G5:H5"/>
    <mergeCell ref="C6:E6"/>
    <mergeCell ref="A2:I2"/>
    <mergeCell ref="A4:I4"/>
    <mergeCell ref="G7:H7"/>
    <mergeCell ref="B7:E7"/>
    <mergeCell ref="G9:H9"/>
    <mergeCell ref="B8:E8"/>
    <mergeCell ref="B11:E11"/>
    <mergeCell ref="G8:H8"/>
    <mergeCell ref="A9:E9"/>
    <mergeCell ref="D5:E5"/>
    <mergeCell ref="G14:H14"/>
    <mergeCell ref="B14:E14"/>
    <mergeCell ref="B13:E13"/>
    <mergeCell ref="A15:C15"/>
    <mergeCell ref="D15:F15"/>
    <mergeCell ref="G15:H15"/>
    <mergeCell ref="B12:E12"/>
    <mergeCell ref="B10:E10"/>
    <mergeCell ref="G10:H10"/>
    <mergeCell ref="H11:I11"/>
    <mergeCell ref="G13:H13"/>
    <mergeCell ref="G12:H12"/>
  </mergeCells>
  <dataValidations count="5">
    <dataValidation type="list" allowBlank="1" showInputMessage="1" showErrorMessage="1" sqref="I7" xr:uid="{808F6EF0-2118-4EBE-9D1C-CEAF9A1F0A87}">
      <formula1>$C$19:$C$24</formula1>
    </dataValidation>
    <dataValidation type="list" allowBlank="1" showInputMessage="1" showErrorMessage="1" sqref="I13" xr:uid="{BEDFB637-708F-4798-A486-8176DF57F5FC}">
      <formula1>$D$19:$D$21</formula1>
    </dataValidation>
    <dataValidation type="list" allowBlank="1" showInputMessage="1" showErrorMessage="1" sqref="B8:E8 I16:I18" xr:uid="{AC256355-DA21-4BAB-B540-49471374AFD4}">
      <formula1>#REF!</formula1>
    </dataValidation>
    <dataValidation type="list" allowBlank="1" showInputMessage="1" showErrorMessage="1" promptTitle="Select" sqref="I5" xr:uid="{516AB1CC-01CC-4EB6-905C-1DAE6683DB92}">
      <formula1>$B$19:$B$21</formula1>
    </dataValidation>
    <dataValidation type="list" allowBlank="1" showInputMessage="1" showErrorMessage="1" sqref="I6 I8 I14" xr:uid="{F44DD62D-005F-4DDE-A7BF-F5EA28C3F49B}">
      <formula1>$A$19:$A$21</formula1>
    </dataValidation>
  </dataValidations>
  <pageMargins left="0.7" right="0.7" top="0.75" bottom="0.5" header="0.3" footer="0.3"/>
  <pageSetup scale="83"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AC504-FA59-46D4-AB3F-AC3AA8BF909F}">
  <sheetPr codeName="Sheet19">
    <pageSetUpPr fitToPage="1"/>
  </sheetPr>
  <dimension ref="A1:D35"/>
  <sheetViews>
    <sheetView workbookViewId="0">
      <selection activeCell="D21" sqref="D21"/>
    </sheetView>
  </sheetViews>
  <sheetFormatPr defaultRowHeight="14.25" x14ac:dyDescent="0.2"/>
  <cols>
    <col min="1" max="1" width="19.85546875" style="1" bestFit="1" customWidth="1"/>
    <col min="2" max="2" width="11.7109375" style="1" bestFit="1" customWidth="1"/>
    <col min="3" max="3" width="67.42578125" style="1" bestFit="1" customWidth="1"/>
    <col min="4" max="4" width="94.28515625" style="1" customWidth="1"/>
    <col min="5" max="16384" width="9.140625" style="1"/>
  </cols>
  <sheetData>
    <row r="1" spans="1:4" ht="102.75" customHeight="1" thickBot="1" x14ac:dyDescent="0.45">
      <c r="A1" s="111" t="str">
        <f xml:space="preserve"> "Tournament Manager Technical Plan -" &amp; Welcome!B7</f>
        <v>Tournament Manager Technical Plan -</v>
      </c>
      <c r="B1" s="112"/>
      <c r="C1" s="112"/>
      <c r="D1" s="113"/>
    </row>
    <row r="2" spans="1:4" ht="7.5" customHeight="1" thickBot="1" x14ac:dyDescent="0.25">
      <c r="A2" s="114"/>
      <c r="B2" s="115"/>
      <c r="C2" s="115"/>
      <c r="D2" s="116"/>
    </row>
    <row r="3" spans="1:4" ht="24.75" customHeight="1" thickBot="1" x14ac:dyDescent="0.4">
      <c r="A3" s="84" t="s">
        <v>84</v>
      </c>
      <c r="B3" s="85"/>
      <c r="C3" s="85"/>
      <c r="D3" s="86"/>
    </row>
    <row r="4" spans="1:4" ht="7.5" customHeight="1" thickBot="1" x14ac:dyDescent="0.25">
      <c r="A4" s="117"/>
      <c r="B4" s="118"/>
      <c r="C4" s="118"/>
      <c r="D4" s="119"/>
    </row>
    <row r="5" spans="1:4" ht="30.75" customHeight="1" x14ac:dyDescent="0.25">
      <c r="A5" s="24" t="s">
        <v>85</v>
      </c>
      <c r="B5" s="25" t="s">
        <v>86</v>
      </c>
      <c r="C5" s="25" t="s">
        <v>87</v>
      </c>
      <c r="D5" s="26" t="s">
        <v>88</v>
      </c>
    </row>
    <row r="6" spans="1:4" x14ac:dyDescent="0.2">
      <c r="A6" s="14" t="str" cm="1">
        <f t="array" ref="A6">IFERROR(INDEX(Problem!A:A, ROW()-4), "")</f>
        <v>P-00005867</v>
      </c>
      <c r="B6" s="1" t="str" cm="1">
        <f t="array" ref="B6">IFERROR(INDEX(Problem!M2:M7, MATCH(INDEX(Problem!I:I, ROW()-4), Problem!L2:L7, 0)), "")</f>
        <v>5.2 HF2</v>
      </c>
      <c r="C6" s="12" t="str" cm="1">
        <f t="array" ref="C6">IF(IFERROR(INDEX(Problem!E:E, ROW()-4), "") = "", "", IFERROR(INDEX(Problem!E:E, ROW()-4), ""))</f>
        <v>Default Settings - Duration</v>
      </c>
      <c r="D6" s="27" t="str" cm="1">
        <f t="array" ref="D6">IF(IFERROR(INDEX(Problem!J:J, ROW()-4), "") = "", "", IFERROR(INDEX(Problem!J:J, ROW()-4), ""))</f>
        <v>Manually change the Duration Setting in the drop down box.</v>
      </c>
    </row>
    <row r="7" spans="1:4" ht="28.5" x14ac:dyDescent="0.2">
      <c r="A7" s="14" t="str" cm="1">
        <f t="array" ref="A7">IFERROR(INDEX(Problem!A:A, ROW()-4), "")</f>
        <v>P-00006456</v>
      </c>
      <c r="B7" s="1" t="str" cm="1">
        <f t="array" ref="B7">IFERROR(INDEX(Problem!M2:M7, MATCH(INDEX(Problem!I:I, ROW()-4), Problem!L2:L7, 0)), "")</f>
        <v>5.2 HF2</v>
      </c>
      <c r="C7" s="12" t="str" cm="1">
        <f t="array" ref="C7">IF(IFERROR(INDEX(Problem!E:E, ROW()-4), "") = "", "", IFERROR(INDEX(Problem!E:E, ROW()-4), ""))</f>
        <v>Two ballots printing with one Card Swipe at the kiosk.</v>
      </c>
      <c r="D7" s="27" t="str" cm="1">
        <f t="array" ref="D7">IF(IFERROR(INDEX(Problem!J:J, ROW()-4), "") = "", "", IFERROR(INDEX(Problem!J:J, ROW()-4), ""))</f>
        <v>Affects sites with multiple # Character count for player IDs.  WA-7986 includes update in Settings and javascript file to correct.</v>
      </c>
    </row>
    <row r="8" spans="1:4" x14ac:dyDescent="0.2">
      <c r="A8" s="14" t="str" cm="1">
        <f t="array" ref="A8">IFERROR(INDEX(Problem!A:A, ROW()-4), "")</f>
        <v>P-00006781</v>
      </c>
      <c r="B8" s="1" t="str" cm="1">
        <f t="array" ref="B8">IFERROR(INDEX(Problem!M2:M7, MATCH(INDEX(Problem!I:I, ROW()-4), Problem!L2:L7, 0)), "")</f>
        <v>4.0 HF1</v>
      </c>
      <c r="C8" s="12" t="str" cm="1">
        <f t="array" ref="C8">IF(IFERROR(INDEX(Problem!E:E, ROW()-4), "") = "", "", IFERROR(INDEX(Problem!E:E, ROW()-4), ""))</f>
        <v>Create Tournament Menu Permission Change</v>
      </c>
      <c r="D8" s="27" t="str" cm="1">
        <f t="array" ref="D8">IF(IFERROR(INDEX(Problem!J:J, ROW()-4), "") = "", "", IFERROR(INDEX(Problem!J:J, ROW()-4), ""))</f>
        <v>WA-8163 available to to correct</v>
      </c>
    </row>
    <row r="9" spans="1:4" ht="28.5" x14ac:dyDescent="0.2">
      <c r="A9" s="14" t="str" cm="1">
        <f t="array" ref="A9">IFERROR(INDEX(Problem!A:A, ROW()-4), "")</f>
        <v>P-00006798</v>
      </c>
      <c r="B9" s="1" t="str" cm="1">
        <f t="array" ref="B9">IFERROR(INDEX(Problem!M2:M7, MATCH(INDEX(Problem!I:I, ROW()-4), Problem!L2:L7, 0)), "")</f>
        <v>3.0</v>
      </c>
      <c r="C9" s="12" t="str" cm="1">
        <f t="array" ref="C9">IF(IFERROR(INDEX(Problem!E:E, ROW()-4), "") = "", "", IFERROR(INDEX(Problem!E:E, ROW()-4), ""))</f>
        <v>filebrowser.aspx Security Vulnerability</v>
      </c>
      <c r="D9" s="27" t="str" cm="1">
        <f t="array" ref="D9">IF(IFERROR(INDEX(Problem!J:J, ROW()-4), "") = "", "", IFERROR(INDEX(Problem!J:J, ROW()-4), ""))</f>
        <v>Can recommend: my current workaround is to put a http redirect specifically on the filebrowser file through IIS back to the homepage.</v>
      </c>
    </row>
    <row r="10" spans="1:4" x14ac:dyDescent="0.2">
      <c r="A10" s="14" t="str" cm="1">
        <f t="array" ref="A10">IFERROR(INDEX(Problem!A:A, ROW()-4), "")</f>
        <v>P-00007156</v>
      </c>
      <c r="B10" s="1" t="str" cm="1">
        <f t="array" ref="B10">IFERROR(INDEX(Problem!M2:M7, MATCH(INDEX(Problem!I:I, ROW()-4), Problem!L2:L7, 0)), "")</f>
        <v>6.2</v>
      </c>
      <c r="C10" s="12" t="str" cm="1">
        <f t="array" ref="C10">IF(IFERROR(INDEX(Problem!E:E, ROW()-4), "") = "", "", IFERROR(INDEX(Problem!E:E, ROW()-4), ""))</f>
        <v>Walkup Bonus Registration error</v>
      </c>
      <c r="D10" s="27" t="str" cm="1">
        <f t="array" ref="D10">IF(IFERROR(INDEX(Problem!J:J, ROW()-4), "") = "", "", IFERROR(INDEX(Problem!J:J, ROW()-4), ""))</f>
        <v>Register patron via bonus registration</v>
      </c>
    </row>
    <row r="11" spans="1:4" ht="28.5" x14ac:dyDescent="0.2">
      <c r="A11" s="14" t="str" cm="1">
        <f t="array" ref="A11">IFERROR(INDEX(Problem!A:A, ROW()-4), "")</f>
        <v>P-00007349</v>
      </c>
      <c r="B11" s="1" t="str" cm="1">
        <f t="array" ref="B11">IFERROR(INDEX(Problem!M2:M7, MATCH(INDEX(Problem!I:I, ROW()-4), Problem!L2:L7, 0)), "")</f>
        <v>6.2</v>
      </c>
      <c r="C11" s="12" t="str" cm="1">
        <f t="array" ref="C11">IF(IFERROR(INDEX(Problem!E:E, ROW()-4), "") = "", "", IFERROR(INDEX(Problem!E:E, ROW()-4), ""))</f>
        <v>Adobe Flash for Tournament Leaderboard, Kiosk &amp; Video Displays</v>
      </c>
      <c r="D11" s="27" t="str" cm="1">
        <f t="array" ref="D11">IF(IFERROR(INDEX(Problem!J:J, ROW()-4), "") = "", "", IFERROR(INDEX(Problem!J:J, ROW()-4), ""))</f>
        <v>Adobe Flash no longer supported, SWF files will not work.  WA-8479 has additional information for header to be set to 0.</v>
      </c>
    </row>
    <row r="12" spans="1:4" x14ac:dyDescent="0.2">
      <c r="A12" s="14" t="str" cm="1">
        <f t="array" ref="A12">IFERROR(INDEX(Problem!A:A, ROW()-4), "")</f>
        <v>P-00007538</v>
      </c>
      <c r="B12" s="1" t="str" cm="1">
        <f t="array" ref="B12">IFERROR(INDEX(Problem!M2:M7, MATCH(INDEX(Problem!I:I, ROW()-4), Problem!L2:L7, 0)), "")</f>
        <v>6.2</v>
      </c>
      <c r="C12" s="12" t="str" cm="1">
        <f t="array" ref="C12">IF(IFERROR(INDEX(Problem!E:E, ROW()-4), "") = "", "", IFERROR(INDEX(Problem!E:E, ROW()-4), ""))</f>
        <v>SpinSplosion Game020001EZEB03 Walkup Tournament</v>
      </c>
      <c r="D12" s="27" t="str" cm="1">
        <f t="array" ref="D12">IF(IFERROR(INDEX(Problem!J:J, ROW()-4), "") = "", "", IFERROR(INDEX(Problem!J:J, ROW()-4), ""))</f>
        <v>Only relevant to sites with SpinSplosion.  WA-8544 available.</v>
      </c>
    </row>
    <row r="13" spans="1:4" ht="28.5" x14ac:dyDescent="0.2">
      <c r="A13" s="14" t="str" cm="1">
        <f t="array" ref="A13">IFERROR(INDEX(Problem!A:A, ROW()-4), "")</f>
        <v>P-00007543</v>
      </c>
      <c r="B13" s="1" t="str" cm="1">
        <f t="array" ref="B13">IFERROR(INDEX(Problem!M2:M7, MATCH(INDEX(Problem!I:I, ROW()-4), Problem!L2:L7, 0)), "")</f>
        <v>6.2</v>
      </c>
      <c r="C13" s="12" t="str" cm="1">
        <f t="array" ref="C13">IF(IFERROR(INDEX(Problem!E:E, ROW()-4), "") = "", "", IFERROR(INDEX(Problem!E:E, ROW()-4), ""))</f>
        <v>Machine Status Enable/Disable Tournament Mode</v>
      </c>
      <c r="D13" s="27" t="str" cm="1">
        <f t="array" ref="D13">IF(IFERROR(INDEX(Problem!J:J, ROW()-4), "") = "", "", IFERROR(INDEX(Problem!J:J, ROW()-4), ""))</f>
        <v>Machine Status, via Real Time Menu is greyed out for users.  Must be part of Remote EGM Configuration group OR use Machine Status thru Tournament/View Tournament/Stage</v>
      </c>
    </row>
    <row r="14" spans="1:4" ht="29.25" customHeight="1" x14ac:dyDescent="0.2">
      <c r="A14" s="14" t="str" cm="1">
        <f t="array" ref="A14">IFERROR(INDEX(Problem!A:A, ROW()-4), "")</f>
        <v>P-00007600</v>
      </c>
      <c r="B14" s="1" t="str" cm="1">
        <f t="array" ref="B14">IFERROR(INDEX(Problem!M2:M7, MATCH(INDEX(Problem!I:I, ROW()-4), Problem!L2:L7, 0)), "")</f>
        <v>6.2</v>
      </c>
      <c r="C14" s="12" t="str" cm="1">
        <f t="array" ref="C14">IF(IFERROR(INDEX(Problem!E:E, ROW()-4), "") = "", "", IFERROR(INDEX(Problem!E:E, ROW()-4), ""))</f>
        <v>Website checks AD for the existence of a user when deactivating - user is already deleted from AD</v>
      </c>
      <c r="D14" s="27" t="str" cm="1">
        <f t="array" ref="D14">IF(IFERROR(INDEX(Problem!J:J, ROW()-4), "") = "", "", IFERROR(INDEX(Problem!J:J, ROW()-4), ""))</f>
        <v>Advise IT to deactivate user in TrM prior to deactivating in AD.</v>
      </c>
    </row>
    <row r="15" spans="1:4" x14ac:dyDescent="0.2">
      <c r="A15" s="14" t="str" cm="1">
        <f t="array" ref="A15">IFERROR(INDEX(Problem!A:A, ROW()-4), "")</f>
        <v>P-00007682</v>
      </c>
      <c r="B15" s="1" t="str" cm="1">
        <f t="array" ref="B15">IFERROR(INDEX(Problem!M2:M7, MATCH(INDEX(Problem!I:I, ROW()-4), Problem!L2:L7, 0)), "")</f>
        <v>6.2</v>
      </c>
      <c r="C15" s="12" t="str" cm="1">
        <f t="array" ref="C15">IF(IFERROR(INDEX(Problem!E:E, ROW()-4), "") = "", "", IFERROR(INDEX(Problem!E:E, ROW()-4), ""))</f>
        <v>Tournament Multi Phase Qualifiers and Wildcards</v>
      </c>
      <c r="D15" s="27" t="str" cm="1">
        <f t="array" ref="D15">IF(IFERROR(INDEX(Problem!J:J, ROW()-4), "") = "", "", IFERROR(INDEX(Problem!J:J, ROW()-4), ""))</f>
        <v>Not enough players to be chosen as wild cards causes error.</v>
      </c>
    </row>
    <row r="16" spans="1:4" x14ac:dyDescent="0.2">
      <c r="A16" s="14" t="str" cm="1">
        <f t="array" ref="A16">IFERROR(INDEX(Problem!A:A, ROW()-4), "")</f>
        <v>P-00007683</v>
      </c>
      <c r="B16" s="1" t="str" cm="1">
        <f t="array" ref="B16">IFERROR(INDEX(Problem!M2:M7, MATCH(INDEX(Problem!I:I, ROW()-4), Problem!L2:L7, 0)), "")</f>
        <v>6.2</v>
      </c>
      <c r="C16" s="12" t="str" cm="1">
        <f t="array" ref="C16">IF(IFERROR(INDEX(Problem!E:E, ROW()-4), "") = "", "", IFERROR(INDEX(Problem!E:E, ROW()-4), ""))</f>
        <v>Tournament Error when trying to add sessions</v>
      </c>
      <c r="D16" s="27" t="str" cm="1">
        <f t="array" ref="D16">IF(IFERROR(INDEX(Problem!J:J, ROW()-4), "") = "", "", IFERROR(INDEX(Problem!J:J, ROW()-4), ""))</f>
        <v>Walk-Up Aggregate tournaments.  WA-8605</v>
      </c>
    </row>
    <row r="17" spans="1:4" ht="42.75" x14ac:dyDescent="0.2">
      <c r="A17" s="14" t="str" cm="1">
        <f t="array" ref="A17">IFERROR(INDEX(Problem!A:A, ROW()-4), "")</f>
        <v>P-00007772</v>
      </c>
      <c r="B17" s="1" t="str" cm="1">
        <f t="array" ref="B17">IFERROR(INDEX(Problem!M2:M7, MATCH(INDEX(Problem!I:I, ROW()-4), Problem!L2:L7, 0)), "")</f>
        <v>6.2</v>
      </c>
      <c r="C17" s="12" t="str" cm="1">
        <f t="array" ref="C17">IF(IFERROR(INDEX(Problem!E:E, ROW()-4), "") = "", "", IFERROR(INDEX(Problem!E:E, ROW()-4), ""))</f>
        <v>Tournament Manager Copy function is not working</v>
      </c>
      <c r="D17" s="27" t="str" cm="1">
        <f t="array" ref="D17">IF(IFERROR(INDEX(Problem!J:J, ROW()-4), "") = "", "", IFERROR(INDEX(Problem!J:J, ROW()-4), ""))</f>
        <v>Only affects properties with 21+ characters in the domain name.  Customer can utilize Template feature or Update Tournament_Copy stored procedure to match all other procs using @Domain parameter of VARCHAR(64).</v>
      </c>
    </row>
    <row r="18" spans="1:4" x14ac:dyDescent="0.2">
      <c r="A18" s="14" t="str" cm="1">
        <f t="array" ref="A18">IFERROR(INDEX(Problem!A:A, ROW()-4), "")</f>
        <v>P-00007818</v>
      </c>
      <c r="B18" s="1" t="str" cm="1">
        <f t="array" ref="B18">IFERROR(INDEX(Problem!M2:M7, MATCH(INDEX(Problem!I:I, ROW()-4), Problem!L2:L7, 0)), "")</f>
        <v>6.2</v>
      </c>
      <c r="C18" s="12" t="str" cm="1">
        <f t="array" ref="C18">IF(IFERROR(INDEX(Problem!E:E, ROW()-4), "") = "", "", IFERROR(INDEX(Problem!E:E, ROW()-4), ""))</f>
        <v>TRM: Tournament duration is playing for longer than configured</v>
      </c>
      <c r="D18" s="27" t="str" cm="1">
        <f t="array" ref="D18">IF(IFERROR(INDEX(Problem!J:J, ROW()-4), "") = "", "", IFERROR(INDEX(Problem!J:J, ROW()-4), ""))</f>
        <v>Set Default to lowest time property plans to set for tournament play.</v>
      </c>
    </row>
    <row r="19" spans="1:4" x14ac:dyDescent="0.2">
      <c r="A19" s="14" t="str" cm="1">
        <f t="array" ref="A19">IFERROR(INDEX(Problem!A:A, ROW()-4), "")</f>
        <v>P-00007819</v>
      </c>
      <c r="B19" s="1" t="str" cm="1">
        <f t="array" ref="B19">IFERROR(INDEX(Problem!M2:M7, MATCH(INDEX(Problem!I:I, ROW()-4), Problem!L2:L7, 0)), "")</f>
        <v>6.0 HF1</v>
      </c>
      <c r="C19" s="12" t="str" cm="1">
        <f t="array" ref="C19">IF(IFERROR(INDEX(Problem!E:E, ROW()-4), "") = "", "", IFERROR(INDEX(Problem!E:E, ROW()-4), ""))</f>
        <v>Spin Derby Game Play v.1 (IGT_Game020003DPUX01)</v>
      </c>
      <c r="D19" s="27" t="str" cm="1">
        <f t="array" ref="D19">IF(IFERROR(INDEX(Problem!J:J, ROW()-4), "") = "", "", IFERROR(INDEX(Problem!J:J, ROW()-4), ""))</f>
        <v>Issue to be fixed with updated version.  WA-8701 contains details.</v>
      </c>
    </row>
    <row r="20" spans="1:4" ht="28.5" x14ac:dyDescent="0.2">
      <c r="A20" s="14" t="str" cm="1">
        <f t="array" ref="A20">IFERROR(INDEX(Problem!A:A, ROW()-4), "")</f>
        <v>P-00007820</v>
      </c>
      <c r="B20" s="1" t="str" cm="1">
        <f t="array" ref="B20">IFERROR(INDEX(Problem!M2:M7, MATCH(INDEX(Problem!I:I, ROW()-4), Problem!L2:L7, 0)), "")</f>
        <v>6.0 HF1</v>
      </c>
      <c r="C20" s="12" t="str" cm="1">
        <f t="array" ref="C20">IF(IFERROR(INDEX(Problem!E:E, ROW()-4), "") = "", "", IFERROR(INDEX(Problem!E:E, ROW()-4), ""))</f>
        <v>Tournament EGMs not connecting with Spin Derby v.1 (IGT_Game020003DPUX01)</v>
      </c>
      <c r="D20" s="27" t="str" cm="1">
        <f t="array" ref="D20">IF(IFERROR(INDEX(Problem!J:J, ROW()-4), "") = "", "", IFERROR(INDEX(Problem!J:J, ROW()-4), ""))</f>
        <v>WA-8702 available to fix Feature and Theme Feature tables</v>
      </c>
    </row>
    <row r="21" spans="1:4" ht="28.5" x14ac:dyDescent="0.2">
      <c r="A21" s="14" t="str" cm="1">
        <f t="array" ref="A21">IFERROR(INDEX(Problem!A:A, ROW()-4), "")</f>
        <v>P-00007821</v>
      </c>
      <c r="B21" s="1" t="str" cm="1">
        <f t="array" ref="B21">IFERROR(INDEX(Problem!M2:M7, MATCH(INDEX(Problem!I:I, ROW()-4), Problem!L2:L7, 0)), "")</f>
        <v>6.2</v>
      </c>
      <c r="C21" s="12" t="str" cm="1">
        <f t="array" ref="C21">IF(IFERROR(INDEX(Problem!E:E, ROW()-4), "") = "", "", IFERROR(INDEX(Problem!E:E, ROW()-4), ""))</f>
        <v>TRM - Webpage error when selecting VOID SCORE during tilt in a Walk-up Style tournament</v>
      </c>
      <c r="D21" s="27" t="str" cm="1">
        <f t="array" ref="D21">IF(IFERROR(INDEX(Problem!J:J, ROW()-4), "") = "", "", IFERROR(INDEX(Problem!J:J, ROW()-4), ""))</f>
        <v>Enable then disable EnableAutoRegistration in System Settings</v>
      </c>
    </row>
    <row r="22" spans="1:4" ht="28.5" x14ac:dyDescent="0.2">
      <c r="A22" s="14" t="str" cm="1">
        <f t="array" ref="A22">IFERROR(INDEX(Problem!A:A, ROW()-4), "")</f>
        <v>P-00007849</v>
      </c>
      <c r="B22" s="1" t="str" cm="1">
        <f t="array" ref="B22">IFERROR(INDEX(Problem!M2:M7, MATCH(INDEX(Problem!I:I, ROW()-4), Problem!L2:L7, 0)), "")</f>
        <v>6.2</v>
      </c>
      <c r="C22" s="12" t="str" cm="1">
        <f t="array" ref="C22">IF(IFERROR(INDEX(Problem!E:E, ROW()-4), "") = "", "", IFERROR(INDEX(Problem!E:E, ROW()-4), ""))</f>
        <v>Error encountered when user performed multiple registration for the same patron</v>
      </c>
      <c r="D22" s="27" t="str" cm="1">
        <f t="array" ref="D22">IF(IFERROR(INDEX(Problem!J:J, ROW()-4), "") = "", "", IFERROR(INDEX(Problem!J:J, ROW()-4), ""))</f>
        <v>No workaround at this time.</v>
      </c>
    </row>
    <row r="23" spans="1:4" ht="28.5" x14ac:dyDescent="0.2">
      <c r="A23" s="14" t="str" cm="1">
        <f t="array" ref="A23">IFERROR(INDEX(Problem!A:A, ROW()-4), "")</f>
        <v>P-00007853</v>
      </c>
      <c r="B23" s="1" t="str" cm="1">
        <f t="array" ref="B23">IFERROR(INDEX(Problem!M2:M7, MATCH(INDEX(Problem!I:I, ROW()-4), Problem!L2:L7, 0)), "")</f>
        <v>6.2</v>
      </c>
      <c r="C23" s="12" t="str" cm="1">
        <f t="array" ref="C23">IF(IFERROR(INDEX(Problem!E:E, ROW()-4), "") = "", "", IFERROR(INDEX(Problem!E:E, ROW()-4), ""))</f>
        <v>IGT Tournament Message Services will spike the server CPU’s usage.</v>
      </c>
      <c r="D23" s="27" t="str" cm="1">
        <f t="array" ref="D23">IF(IFERROR(INDEX(Problem!J:J, ROW()-4), "") = "", "", IFERROR(INDEX(Problem!J:J, ROW()-4), ""))</f>
        <v>Reboot the TRM Messaging server before you run tournaments to get it into a good state without CPU spiked. Or have the property select a different tournament game.</v>
      </c>
    </row>
    <row r="24" spans="1:4" ht="28.5" x14ac:dyDescent="0.2">
      <c r="A24" s="14" t="str" cm="1">
        <f t="array" ref="A24">IFERROR(INDEX(Problem!A:A, ROW()-4), "")</f>
        <v>P-00007984</v>
      </c>
      <c r="B24" s="1" t="str" cm="1">
        <f t="array" ref="B24">IFERROR(INDEX(Problem!M2:M7, MATCH(INDEX(Problem!I:I, ROW()-4), Problem!L2:L7, 0)), "")</f>
        <v>6.0 HF1</v>
      </c>
      <c r="C24" s="12" t="str" cm="1">
        <f t="array" ref="C24">IF(IFERROR(INDEX(Problem!E:E, ROW()-4), "") = "", "", IFERROR(INDEX(Problem!E:E, ROW()-4), ""))</f>
        <v>TRM - Unable to get EGMs in Countdown during Walk-up Tournament</v>
      </c>
      <c r="D24" s="27" t="str" cm="1">
        <f t="array" ref="D24">IF(IFERROR(INDEX(Problem!J:J, ROW()-4), "") = "", "", IFERROR(INDEX(Problem!J:J, ROW()-4), ""))</f>
        <v>WA-8808 available to correct db name.</v>
      </c>
    </row>
    <row r="25" spans="1:4" x14ac:dyDescent="0.2">
      <c r="A25" s="14" t="str" cm="1">
        <f t="array" ref="A25">IFERROR(INDEX(Problem!A:A, ROW()-4), "")</f>
        <v>P-00008044</v>
      </c>
      <c r="B25" s="1" t="str" cm="1">
        <f t="array" ref="B25">IFERROR(INDEX(Problem!M2:M7, MATCH(INDEX(Problem!I:I, ROW()-4), Problem!L2:L7, 0)), "")</f>
        <v>6.3</v>
      </c>
      <c r="C25" s="12" t="str" cm="1">
        <f t="array" ref="C25">IF(IFERROR(INDEX(Problem!E:E, ROW()-4), "") = "", "", IFERROR(INDEX(Problem!E:E, ROW()-4), ""))</f>
        <v>IPS Fails to install Tournament Manager DBs</v>
      </c>
      <c r="D25" s="27" t="str" cm="1">
        <f t="array" ref="D25">IF(IFERROR(INDEX(Problem!J:J, ROW()-4), "") = "", "", IFERROR(INDEX(Problem!J:J, ROW()-4), ""))</f>
        <v/>
      </c>
    </row>
    <row r="26" spans="1:4" ht="28.5" x14ac:dyDescent="0.2">
      <c r="A26" s="14" t="str" cm="1">
        <f t="array" ref="A26">IFERROR(INDEX(Problem!A:A, ROW()-4), "")</f>
        <v>P-00008160</v>
      </c>
      <c r="B26" s="1" t="str" cm="1">
        <f t="array" ref="B26">IFERROR(INDEX(Problem!M2:M7, MATCH(INDEX(Problem!I:I, ROW()-4), Problem!L2:L7, 0)), "")</f>
        <v>6.2</v>
      </c>
      <c r="C26" s="12" t="str" cm="1">
        <f t="array" ref="C26">IF(IFERROR(INDEX(Problem!E:E, ROW()-4), "") = "", "", IFERROR(INDEX(Problem!E:E, ROW()-4), ""))</f>
        <v>Tournament sign is not scrolling with Spinsplosion theme in Tournament Mode</v>
      </c>
      <c r="D26" s="27" t="str" cm="1">
        <f t="array" ref="D26">IF(IFERROR(INDEX(Problem!J:J, ROW()-4), "") = "", "", IFERROR(INDEX(Problem!J:J, ROW()-4), ""))</f>
        <v/>
      </c>
    </row>
    <row r="27" spans="1:4" x14ac:dyDescent="0.2">
      <c r="A27" s="14" t="str" cm="1">
        <f t="array" ref="A27">IFERROR(INDEX(Problem!A:A, ROW()-4), "")</f>
        <v>P-00008322</v>
      </c>
      <c r="B27" s="1" t="str" cm="1">
        <f t="array" ref="B27">IFERROR(INDEX(Problem!M2:M7, MATCH(INDEX(Problem!I:I, ROW()-4), Problem!L2:L7, 0)), "")</f>
        <v>6.3</v>
      </c>
      <c r="C27" s="12" t="str" cm="1">
        <f t="array" ref="C27">IF(IFERROR(INDEX(Problem!E:E, ROW()-4), "") = "", "", IFERROR(INDEX(Problem!E:E, ROW()-4), ""))</f>
        <v>rflash.aspx SQL injection</v>
      </c>
      <c r="D27" s="27" t="str" cm="1">
        <f t="array" ref="D27">IF(IFERROR(INDEX(Problem!J:J, ROW()-4), "") = "", "", IFERROR(INDEX(Problem!J:J, ROW()-4), ""))</f>
        <v/>
      </c>
    </row>
    <row r="28" spans="1:4" ht="28.5" x14ac:dyDescent="0.2">
      <c r="A28" s="14" t="str" cm="1">
        <f t="array" ref="A28">IFERROR(INDEX(Problem!A:A, ROW()-4), "")</f>
        <v>P-00008323</v>
      </c>
      <c r="B28" s="1" t="str" cm="1">
        <f t="array" ref="B28">IFERROR(INDEX(Problem!M2:M7, MATCH(INDEX(Problem!I:I, ROW()-4), Problem!L2:L7, 0)), "")</f>
        <v>6.3</v>
      </c>
      <c r="C28" s="12" t="str" cm="1">
        <f t="array" ref="C28">IF(IFERROR(INDEX(Problem!E:E, ROW()-4), "") = "", "", IFERROR(INDEX(Problem!E:E, ROW()-4), ""))</f>
        <v>Authentication bypass using Kiosk3P.aspx, selfregister2.aspx, GraphicLibrary.aspx pages</v>
      </c>
      <c r="D28" s="27" t="str" cm="1">
        <f t="array" ref="D28">IF(IFERROR(INDEX(Problem!J:J, ROW()-4), "") = "", "", IFERROR(INDEX(Problem!J:J, ROW()-4), ""))</f>
        <v/>
      </c>
    </row>
    <row r="29" spans="1:4" x14ac:dyDescent="0.2">
      <c r="A29" s="14" t="str" cm="1">
        <f t="array" ref="A29">IFERROR(INDEX(Problem!A:A, ROW()-4), "")</f>
        <v>P-00008368</v>
      </c>
      <c r="B29" s="1" t="str" cm="1">
        <f t="array" ref="B29">IFERROR(INDEX(Problem!M2:M7, MATCH(INDEX(Problem!I:I, ROW()-4), Problem!L2:L7, 0)), "")</f>
        <v>6.2</v>
      </c>
      <c r="C29" s="12" t="str" cm="1">
        <f t="array" ref="C29">IF(IFERROR(INDEX(Problem!E:E, ROW()-4), "") = "", "", IFERROR(INDEX(Problem!E:E, ROW()-4), ""))</f>
        <v>Problem Record 7156 - Walkup Bonus Registration error</v>
      </c>
      <c r="D29" s="27" t="str" cm="1">
        <f t="array" ref="D29">IF(IFERROR(INDEX(Problem!J:J, ROW()-4), "") = "", "", IFERROR(INDEX(Problem!J:J, ROW()-4), ""))</f>
        <v/>
      </c>
    </row>
    <row r="30" spans="1:4" x14ac:dyDescent="0.2">
      <c r="A30" s="14" t="str" cm="1">
        <f t="array" ref="A30">IFERROR(INDEX(Problem!A:A, ROW()-4), "")</f>
        <v>P-00008370</v>
      </c>
      <c r="B30" s="1" t="str" cm="1">
        <f t="array" ref="B30">IFERROR(INDEX(Problem!M2:M7, MATCH(INDEX(Problem!I:I, ROW()-4), Problem!L2:L7, 0)), "")</f>
        <v>6.2</v>
      </c>
      <c r="C30" s="12" t="str" cm="1">
        <f t="array" ref="C30">IF(IFERROR(INDEX(Problem!E:E, ROW()-4), "") = "", "", IFERROR(INDEX(Problem!E:E, ROW()-4), ""))</f>
        <v>Concerns with higher winners in first two hours of tournaments</v>
      </c>
      <c r="D30" s="27" t="str" cm="1">
        <f t="array" ref="D30">IF(IFERROR(INDEX(Problem!J:J, ROW()-4), "") = "", "", IFERROR(INDEX(Problem!J:J, ROW()-4), ""))</f>
        <v/>
      </c>
    </row>
    <row r="31" spans="1:4" x14ac:dyDescent="0.2">
      <c r="A31" s="14" t="str" cm="1">
        <f t="array" ref="A31">IFERROR(INDEX(Problem!A:A, ROW()-4), "")</f>
        <v>P-00008379</v>
      </c>
      <c r="B31" s="1" t="str" cm="1">
        <f t="array" ref="B31">IFERROR(INDEX(Problem!M2:M7, MATCH(INDEX(Problem!I:I, ROW()-4), Problem!L2:L7, 0)), "")</f>
        <v>6.3</v>
      </c>
      <c r="C31" s="12" t="str" cm="1">
        <f t="array" ref="C31">IF(IFERROR(INDEX(Problem!E:E, ROW()-4), "") = "", "", IFERROR(INDEX(Problem!E:E, ROW()-4), ""))</f>
        <v>Unable to shut off touchscreen on Dynamic Player Panel</v>
      </c>
      <c r="D31" s="27" t="str" cm="1">
        <f t="array" ref="D31">IF(IFERROR(INDEX(Problem!J:J, ROW()-4), "") = "", "", IFERROR(INDEX(Problem!J:J, ROW()-4), ""))</f>
        <v/>
      </c>
    </row>
    <row r="32" spans="1:4" x14ac:dyDescent="0.2">
      <c r="A32" s="14" t="str" cm="1">
        <f t="array" ref="A32">IFERROR(INDEX(Problem!A:A, ROW()-4), "")</f>
        <v>P-00008433</v>
      </c>
      <c r="B32" s="1" t="str" cm="1">
        <f t="array" ref="B32">IFERROR(INDEX(Problem!M2:M7, MATCH(INDEX(Problem!I:I, ROW()-4), Problem!L2:L7, 0)), "")</f>
        <v>6.3</v>
      </c>
      <c r="C32" s="12" t="str" cm="1">
        <f t="array" ref="C32">IF(IFERROR(INDEX(Problem!E:E, ROW()-4), "") = "", "", IFERROR(INDEX(Problem!E:E, ROW()-4), ""))</f>
        <v>Sign not switching back to Progressive after tournament completion</v>
      </c>
      <c r="D32" s="27" t="str" cm="1">
        <f t="array" ref="D32">IF(IFERROR(INDEX(Problem!J:J, ROW()-4), "") = "", "", IFERROR(INDEX(Problem!J:J, ROW()-4), ""))</f>
        <v/>
      </c>
    </row>
    <row r="33" spans="1:4" ht="28.5" x14ac:dyDescent="0.2">
      <c r="A33" s="14" t="str" cm="1">
        <f t="array" ref="A33">IF(IFERROR(INDEX(Problem!A:A, ROW()-4), "") = "", "", IFERROR(INDEX(Problem!A:A, ROW()-4), ""))</f>
        <v>P-00008444</v>
      </c>
      <c r="B33" s="1" t="str" cm="1">
        <f t="array" ref="B33">IFERROR(INDEX(Problem!M2:M7, MATCH(INDEX(Problem!I:I, ROW()-4), Problem!L2:L7, 0)), "")</f>
        <v>6.2</v>
      </c>
      <c r="C33" s="12" t="str" cm="1">
        <f t="array" ref="C33">IF(IFERROR(INDEX(Problem!E:E, ROW()-4), "") = "", "", IFERROR(INDEX(Problem!E:E, ROW()-4), ""))</f>
        <v>TRM - Enroll by EGM via commhub events causing so much traffic, commhub runs out of available memory and restarts</v>
      </c>
      <c r="D33" s="27" t="str" cm="1">
        <f t="array" ref="D33">IF(IFERROR(INDEX(Problem!J:J, ROW()-4), "") = "", "", IFERROR(INDEX(Problem!J:J, ROW()-4), ""))</f>
        <v/>
      </c>
    </row>
    <row r="34" spans="1:4" x14ac:dyDescent="0.2">
      <c r="A34" s="1" t="str" cm="1">
        <f t="array" ref="A34">IF(IFERROR(INDEX(Problem!A:A, ROW()-4), "") = "", "", IFERROR(INDEX(Problem!A:A, ROW()-4), ""))</f>
        <v>P-00008466</v>
      </c>
      <c r="B34" s="1" t="str" cm="1">
        <f t="array" ref="B34">IFERROR(INDEX(Problem!M2:M7, MATCH(INDEX(Problem!I:I, ROW()-4), Problem!L2:L7, 0)), "")</f>
        <v>6.3</v>
      </c>
      <c r="C34" s="12" t="str" cm="1">
        <f t="array" ref="C34">IF(IFERROR(INDEX(Problem!E:E, ROW()-4), "") = "", "", IFERROR(INDEX(Problem!E:E, ROW()-4), ""))</f>
        <v>Machine Details not showing all features - Spin Derby</v>
      </c>
      <c r="D34" s="12" t="str" cm="1">
        <f t="array" ref="D34">IF(IFERROR(INDEX(Problem!J:J, ROW()-4), "") = "", "", IFERROR(INDEX(Problem!J:J, ROW()-4), ""))</f>
        <v/>
      </c>
    </row>
    <row r="35" spans="1:4" x14ac:dyDescent="0.2">
      <c r="A35" s="1" t="str" cm="1">
        <f t="array" ref="A35">IF(IFERROR(INDEX(Problem!A:A, ROW()-4), "") = "", "", IFERROR(INDEX(Problem!A:A, ROW()-4), ""))</f>
        <v/>
      </c>
      <c r="B35" s="1" t="str" cm="1">
        <f t="array" ref="B35">IFERROR(INDEX(Problem!M2:M7, MATCH(INDEX(Problem!I:I, ROW()-4), Problem!L2:L7, 0)), "")</f>
        <v/>
      </c>
      <c r="C35" s="12" t="str" cm="1">
        <f t="array" ref="C35">IF(IFERROR(INDEX(Problem!E:E, ROW()-4), "") = "", "", IFERROR(INDEX(Problem!E:E, ROW()-4), ""))</f>
        <v/>
      </c>
      <c r="D35" s="12" t="str" cm="1">
        <f t="array" ref="D35">IF(IFERROR(INDEX(Problem!J:J, ROW()-4), "") = "", "", IFERROR(INDEX(Problem!J:J, ROW()-4), ""))</f>
        <v/>
      </c>
    </row>
  </sheetData>
  <mergeCells count="4">
    <mergeCell ref="A1:D1"/>
    <mergeCell ref="A2:D2"/>
    <mergeCell ref="A3:D3"/>
    <mergeCell ref="A4:D4"/>
  </mergeCells>
  <pageMargins left="0.25" right="0.25" top="0.5" bottom="0.5" header="0.3" footer="0.3"/>
  <pageSetup scale="68"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EB90C-776A-4926-B440-16875842A792}">
  <sheetPr codeName="Sheet2"/>
  <dimension ref="A1"/>
  <sheetViews>
    <sheetView workbookViewId="0"/>
  </sheetViews>
  <sheetFormatPr defaultRowHeight="15" x14ac:dyDescent="0.25"/>
  <sheetData>
    <row r="1" spans="1:1" x14ac:dyDescent="0.25">
      <c r="A1" t="s">
        <v>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C6443-3D30-4A33-9791-54D5D5BA1246}">
  <sheetPr codeName="Sheet28"/>
  <dimension ref="A1:M30"/>
  <sheetViews>
    <sheetView topLeftCell="A3" workbookViewId="0">
      <selection activeCell="B32" sqref="B32"/>
    </sheetView>
  </sheetViews>
  <sheetFormatPr defaultRowHeight="15" x14ac:dyDescent="0.25"/>
  <cols>
    <col min="1" max="1" width="10.85546875" bestFit="1" customWidth="1"/>
    <col min="2" max="2" width="81.140625" bestFit="1" customWidth="1"/>
    <col min="3" max="3" width="20.85546875" bestFit="1" customWidth="1"/>
    <col min="4" max="4" width="13.28515625" bestFit="1" customWidth="1"/>
    <col min="5" max="5" width="81.140625" bestFit="1" customWidth="1"/>
    <col min="6" max="6" width="19.85546875" bestFit="1" customWidth="1"/>
    <col min="7" max="7" width="22.7109375" bestFit="1" customWidth="1"/>
    <col min="8" max="8" width="81.140625" bestFit="1" customWidth="1"/>
    <col min="9" max="9" width="21.42578125" bestFit="1" customWidth="1"/>
    <col min="10" max="10" width="81.140625" bestFit="1" customWidth="1"/>
    <col min="12" max="12" width="21.42578125" bestFit="1" customWidth="1"/>
    <col min="13" max="13" width="7.28515625" bestFit="1" customWidth="1"/>
  </cols>
  <sheetData>
    <row r="1" spans="1:13" x14ac:dyDescent="0.25">
      <c r="A1" t="s">
        <v>90</v>
      </c>
      <c r="B1" t="s">
        <v>91</v>
      </c>
      <c r="C1" t="s">
        <v>92</v>
      </c>
      <c r="D1" t="s">
        <v>93</v>
      </c>
      <c r="E1" t="s">
        <v>94</v>
      </c>
      <c r="F1" t="s">
        <v>95</v>
      </c>
      <c r="G1" t="s">
        <v>96</v>
      </c>
      <c r="H1" t="s">
        <v>97</v>
      </c>
      <c r="I1" t="s">
        <v>98</v>
      </c>
      <c r="J1" t="s">
        <v>99</v>
      </c>
    </row>
    <row r="2" spans="1:13" x14ac:dyDescent="0.25">
      <c r="A2" t="s">
        <v>100</v>
      </c>
      <c r="B2" t="s">
        <v>101</v>
      </c>
      <c r="C2" t="s">
        <v>102</v>
      </c>
      <c r="D2" t="s">
        <v>103</v>
      </c>
      <c r="E2" t="s">
        <v>104</v>
      </c>
      <c r="F2" t="s">
        <v>105</v>
      </c>
      <c r="H2" t="s">
        <v>106</v>
      </c>
      <c r="I2" t="s">
        <v>107</v>
      </c>
      <c r="J2" t="s">
        <v>108</v>
      </c>
      <c r="L2" s="22" t="s">
        <v>107</v>
      </c>
      <c r="M2" s="23" t="s">
        <v>109</v>
      </c>
    </row>
    <row r="3" spans="1:13" x14ac:dyDescent="0.25">
      <c r="A3" t="s">
        <v>110</v>
      </c>
      <c r="B3" t="s">
        <v>111</v>
      </c>
      <c r="C3" t="s">
        <v>112</v>
      </c>
      <c r="D3" t="s">
        <v>103</v>
      </c>
      <c r="E3" t="s">
        <v>113</v>
      </c>
      <c r="F3" t="s">
        <v>105</v>
      </c>
      <c r="G3" t="s">
        <v>114</v>
      </c>
      <c r="H3" t="s">
        <v>115</v>
      </c>
      <c r="I3" t="s">
        <v>107</v>
      </c>
      <c r="J3" t="s">
        <v>116</v>
      </c>
      <c r="L3" s="22" t="s">
        <v>117</v>
      </c>
      <c r="M3" s="23" t="s">
        <v>118</v>
      </c>
    </row>
    <row r="4" spans="1:13" x14ac:dyDescent="0.25">
      <c r="A4" t="s">
        <v>119</v>
      </c>
      <c r="B4" t="s">
        <v>120</v>
      </c>
      <c r="C4" t="s">
        <v>102</v>
      </c>
      <c r="D4" t="s">
        <v>103</v>
      </c>
      <c r="E4" t="s">
        <v>121</v>
      </c>
      <c r="F4" t="s">
        <v>105</v>
      </c>
      <c r="H4" t="s">
        <v>122</v>
      </c>
      <c r="I4" t="s">
        <v>117</v>
      </c>
      <c r="J4" t="s">
        <v>123</v>
      </c>
      <c r="L4" s="22" t="s">
        <v>124</v>
      </c>
      <c r="M4" s="23" t="s">
        <v>125</v>
      </c>
    </row>
    <row r="5" spans="1:13" x14ac:dyDescent="0.25">
      <c r="A5" t="s">
        <v>126</v>
      </c>
      <c r="B5" t="s">
        <v>127</v>
      </c>
      <c r="C5" t="s">
        <v>102</v>
      </c>
      <c r="D5" t="s">
        <v>103</v>
      </c>
      <c r="E5" t="s">
        <v>128</v>
      </c>
      <c r="F5" t="s">
        <v>105</v>
      </c>
      <c r="H5" t="s">
        <v>129</v>
      </c>
      <c r="I5" t="s">
        <v>124</v>
      </c>
      <c r="J5" t="s">
        <v>130</v>
      </c>
      <c r="L5" s="22" t="s">
        <v>131</v>
      </c>
      <c r="M5" s="23" t="s">
        <v>132</v>
      </c>
    </row>
    <row r="6" spans="1:13" x14ac:dyDescent="0.25">
      <c r="A6" t="s">
        <v>133</v>
      </c>
      <c r="B6" t="s">
        <v>134</v>
      </c>
      <c r="C6" t="s">
        <v>102</v>
      </c>
      <c r="D6" t="s">
        <v>103</v>
      </c>
      <c r="E6" t="s">
        <v>135</v>
      </c>
      <c r="F6" t="s">
        <v>105</v>
      </c>
      <c r="G6" t="s">
        <v>114</v>
      </c>
      <c r="H6" t="s">
        <v>136</v>
      </c>
      <c r="I6" t="s">
        <v>131</v>
      </c>
      <c r="J6" t="s">
        <v>137</v>
      </c>
      <c r="L6" s="22" t="s">
        <v>138</v>
      </c>
      <c r="M6" s="23" t="s">
        <v>139</v>
      </c>
    </row>
    <row r="7" spans="1:13" x14ac:dyDescent="0.25">
      <c r="A7" t="s">
        <v>140</v>
      </c>
      <c r="B7" t="s">
        <v>141</v>
      </c>
      <c r="C7" t="s">
        <v>102</v>
      </c>
      <c r="D7" t="s">
        <v>142</v>
      </c>
      <c r="E7" t="s">
        <v>143</v>
      </c>
      <c r="F7" t="s">
        <v>105</v>
      </c>
      <c r="H7" t="s">
        <v>144</v>
      </c>
      <c r="I7" t="s">
        <v>131</v>
      </c>
      <c r="J7" t="s">
        <v>145</v>
      </c>
      <c r="L7" s="22" t="s">
        <v>146</v>
      </c>
      <c r="M7" s="23" t="s">
        <v>147</v>
      </c>
    </row>
    <row r="8" spans="1:13" x14ac:dyDescent="0.25">
      <c r="A8" t="s">
        <v>148</v>
      </c>
      <c r="B8" t="s">
        <v>149</v>
      </c>
      <c r="C8" t="s">
        <v>150</v>
      </c>
      <c r="D8" t="s">
        <v>142</v>
      </c>
      <c r="E8" t="s">
        <v>151</v>
      </c>
      <c r="F8" t="s">
        <v>105</v>
      </c>
      <c r="H8" t="s">
        <v>144</v>
      </c>
      <c r="I8" t="s">
        <v>131</v>
      </c>
      <c r="J8" t="s">
        <v>152</v>
      </c>
    </row>
    <row r="9" spans="1:13" x14ac:dyDescent="0.25">
      <c r="A9" t="s">
        <v>153</v>
      </c>
      <c r="B9" t="s">
        <v>154</v>
      </c>
      <c r="C9" t="s">
        <v>102</v>
      </c>
      <c r="D9" t="s">
        <v>142</v>
      </c>
      <c r="E9" t="s">
        <v>155</v>
      </c>
      <c r="F9" t="s">
        <v>105</v>
      </c>
      <c r="H9" t="s">
        <v>144</v>
      </c>
      <c r="I9" t="s">
        <v>131</v>
      </c>
      <c r="J9" t="s">
        <v>156</v>
      </c>
    </row>
    <row r="10" spans="1:13" x14ac:dyDescent="0.25">
      <c r="A10" t="s">
        <v>157</v>
      </c>
      <c r="B10" t="s">
        <v>158</v>
      </c>
      <c r="C10" t="s">
        <v>102</v>
      </c>
      <c r="D10" t="s">
        <v>103</v>
      </c>
      <c r="E10" t="s">
        <v>158</v>
      </c>
      <c r="F10" t="s">
        <v>105</v>
      </c>
      <c r="H10" t="s">
        <v>159</v>
      </c>
      <c r="I10" t="s">
        <v>131</v>
      </c>
      <c r="J10" t="s">
        <v>160</v>
      </c>
    </row>
    <row r="11" spans="1:13" x14ac:dyDescent="0.25">
      <c r="A11" t="s">
        <v>161</v>
      </c>
      <c r="B11" t="s">
        <v>162</v>
      </c>
      <c r="C11" t="s">
        <v>102</v>
      </c>
      <c r="D11" t="s">
        <v>163</v>
      </c>
      <c r="E11" t="s">
        <v>164</v>
      </c>
      <c r="F11" t="s">
        <v>105</v>
      </c>
      <c r="H11" t="s">
        <v>144</v>
      </c>
      <c r="I11" t="s">
        <v>131</v>
      </c>
      <c r="J11" t="s">
        <v>165</v>
      </c>
    </row>
    <row r="12" spans="1:13" x14ac:dyDescent="0.25">
      <c r="A12" t="s">
        <v>166</v>
      </c>
      <c r="B12" t="s">
        <v>167</v>
      </c>
      <c r="C12" t="s">
        <v>102</v>
      </c>
      <c r="D12" t="s">
        <v>142</v>
      </c>
      <c r="E12" t="s">
        <v>168</v>
      </c>
      <c r="F12" t="s">
        <v>105</v>
      </c>
      <c r="H12" t="s">
        <v>144</v>
      </c>
      <c r="I12" t="s">
        <v>131</v>
      </c>
      <c r="J12" t="s">
        <v>169</v>
      </c>
    </row>
    <row r="13" spans="1:13" x14ac:dyDescent="0.25">
      <c r="A13" t="s">
        <v>170</v>
      </c>
      <c r="B13" t="s">
        <v>171</v>
      </c>
      <c r="C13" t="s">
        <v>102</v>
      </c>
      <c r="D13" t="s">
        <v>103</v>
      </c>
      <c r="E13" t="s">
        <v>172</v>
      </c>
      <c r="F13" t="s">
        <v>105</v>
      </c>
      <c r="H13" t="s">
        <v>173</v>
      </c>
      <c r="I13" t="s">
        <v>131</v>
      </c>
      <c r="J13" t="s">
        <v>174</v>
      </c>
    </row>
    <row r="14" spans="1:13" x14ac:dyDescent="0.25">
      <c r="A14" t="s">
        <v>175</v>
      </c>
      <c r="B14" t="s">
        <v>176</v>
      </c>
      <c r="C14" t="s">
        <v>102</v>
      </c>
      <c r="D14" t="s">
        <v>142</v>
      </c>
      <c r="E14" t="s">
        <v>177</v>
      </c>
      <c r="F14" t="s">
        <v>105</v>
      </c>
      <c r="H14" t="s">
        <v>144</v>
      </c>
      <c r="I14" t="s">
        <v>131</v>
      </c>
      <c r="J14" t="s">
        <v>178</v>
      </c>
    </row>
    <row r="15" spans="1:13" x14ac:dyDescent="0.25">
      <c r="A15" t="s">
        <v>179</v>
      </c>
      <c r="B15" t="s">
        <v>180</v>
      </c>
      <c r="C15" t="s">
        <v>102</v>
      </c>
      <c r="D15" t="s">
        <v>142</v>
      </c>
      <c r="E15" t="s">
        <v>181</v>
      </c>
      <c r="F15" t="s">
        <v>105</v>
      </c>
      <c r="H15" t="s">
        <v>144</v>
      </c>
      <c r="I15" t="s">
        <v>138</v>
      </c>
      <c r="J15" t="s">
        <v>182</v>
      </c>
    </row>
    <row r="16" spans="1:13" x14ac:dyDescent="0.25">
      <c r="A16" t="s">
        <v>183</v>
      </c>
      <c r="B16" t="s">
        <v>184</v>
      </c>
      <c r="C16" t="s">
        <v>102</v>
      </c>
      <c r="D16" t="s">
        <v>142</v>
      </c>
      <c r="E16" t="s">
        <v>185</v>
      </c>
      <c r="F16" t="s">
        <v>105</v>
      </c>
      <c r="H16" t="s">
        <v>144</v>
      </c>
      <c r="I16" t="s">
        <v>138</v>
      </c>
      <c r="J16" t="s">
        <v>186</v>
      </c>
    </row>
    <row r="17" spans="1:10" x14ac:dyDescent="0.25">
      <c r="A17" t="s">
        <v>187</v>
      </c>
      <c r="B17" t="s">
        <v>188</v>
      </c>
      <c r="C17" t="s">
        <v>102</v>
      </c>
      <c r="D17" t="s">
        <v>142</v>
      </c>
      <c r="E17" t="s">
        <v>189</v>
      </c>
      <c r="F17" t="s">
        <v>105</v>
      </c>
      <c r="H17" t="s">
        <v>144</v>
      </c>
      <c r="I17" t="s">
        <v>131</v>
      </c>
      <c r="J17" t="s">
        <v>190</v>
      </c>
    </row>
    <row r="18" spans="1:10" x14ac:dyDescent="0.25">
      <c r="A18" t="s">
        <v>191</v>
      </c>
      <c r="B18" t="s">
        <v>192</v>
      </c>
      <c r="C18" t="s">
        <v>102</v>
      </c>
      <c r="D18" t="s">
        <v>103</v>
      </c>
      <c r="E18" t="s">
        <v>193</v>
      </c>
      <c r="F18" t="s">
        <v>105</v>
      </c>
      <c r="H18" t="s">
        <v>194</v>
      </c>
      <c r="I18" t="s">
        <v>131</v>
      </c>
      <c r="J18" t="s">
        <v>195</v>
      </c>
    </row>
    <row r="19" spans="1:10" x14ac:dyDescent="0.25">
      <c r="A19" t="s">
        <v>196</v>
      </c>
      <c r="B19" t="s">
        <v>197</v>
      </c>
      <c r="C19" t="s">
        <v>102</v>
      </c>
      <c r="D19" t="s">
        <v>103</v>
      </c>
      <c r="E19" t="s">
        <v>198</v>
      </c>
      <c r="F19" t="s">
        <v>105</v>
      </c>
      <c r="H19" t="s">
        <v>199</v>
      </c>
      <c r="I19" t="s">
        <v>131</v>
      </c>
      <c r="J19" t="s">
        <v>200</v>
      </c>
    </row>
    <row r="20" spans="1:10" x14ac:dyDescent="0.25">
      <c r="A20" t="s">
        <v>201</v>
      </c>
      <c r="B20" t="s">
        <v>202</v>
      </c>
      <c r="C20" t="s">
        <v>102</v>
      </c>
      <c r="D20" t="s">
        <v>103</v>
      </c>
      <c r="E20" t="s">
        <v>203</v>
      </c>
      <c r="F20" t="s">
        <v>105</v>
      </c>
      <c r="H20" t="s">
        <v>204</v>
      </c>
      <c r="I20" t="s">
        <v>138</v>
      </c>
      <c r="J20" t="s">
        <v>205</v>
      </c>
    </row>
    <row r="21" spans="1:10" x14ac:dyDescent="0.25">
      <c r="A21" t="s">
        <v>206</v>
      </c>
      <c r="B21" t="s">
        <v>207</v>
      </c>
      <c r="C21" t="s">
        <v>102</v>
      </c>
      <c r="D21" t="s">
        <v>142</v>
      </c>
      <c r="E21" t="s">
        <v>208</v>
      </c>
      <c r="F21" t="s">
        <v>105</v>
      </c>
      <c r="H21" t="s">
        <v>144</v>
      </c>
      <c r="I21" t="s">
        <v>146</v>
      </c>
    </row>
    <row r="22" spans="1:10" x14ac:dyDescent="0.25">
      <c r="A22" t="s">
        <v>209</v>
      </c>
      <c r="B22" t="s">
        <v>210</v>
      </c>
      <c r="C22" t="s">
        <v>211</v>
      </c>
      <c r="D22" t="s">
        <v>142</v>
      </c>
      <c r="E22" t="s">
        <v>212</v>
      </c>
      <c r="F22" t="s">
        <v>105</v>
      </c>
      <c r="H22" t="s">
        <v>144</v>
      </c>
      <c r="I22" t="s">
        <v>131</v>
      </c>
    </row>
    <row r="23" spans="1:10" x14ac:dyDescent="0.25">
      <c r="A23" t="s">
        <v>213</v>
      </c>
      <c r="B23" t="s">
        <v>214</v>
      </c>
      <c r="C23" t="s">
        <v>102</v>
      </c>
      <c r="D23" t="s">
        <v>142</v>
      </c>
      <c r="E23" t="s">
        <v>215</v>
      </c>
      <c r="F23" t="s">
        <v>105</v>
      </c>
      <c r="H23" t="s">
        <v>144</v>
      </c>
      <c r="I23" t="s">
        <v>146</v>
      </c>
    </row>
    <row r="24" spans="1:10" x14ac:dyDescent="0.25">
      <c r="A24" t="s">
        <v>216</v>
      </c>
      <c r="B24" t="s">
        <v>217</v>
      </c>
      <c r="C24" t="s">
        <v>102</v>
      </c>
      <c r="D24" t="s">
        <v>142</v>
      </c>
      <c r="E24" t="s">
        <v>218</v>
      </c>
      <c r="F24" t="s">
        <v>105</v>
      </c>
      <c r="H24" t="s">
        <v>144</v>
      </c>
      <c r="I24" t="s">
        <v>146</v>
      </c>
    </row>
    <row r="25" spans="1:10" x14ac:dyDescent="0.25">
      <c r="A25" t="s">
        <v>219</v>
      </c>
      <c r="B25" t="s">
        <v>134</v>
      </c>
      <c r="C25" t="s">
        <v>102</v>
      </c>
      <c r="D25" t="s">
        <v>142</v>
      </c>
      <c r="E25" t="s">
        <v>220</v>
      </c>
      <c r="F25" t="s">
        <v>105</v>
      </c>
      <c r="G25" t="s">
        <v>114</v>
      </c>
      <c r="H25" t="s">
        <v>136</v>
      </c>
      <c r="I25" t="s">
        <v>131</v>
      </c>
    </row>
    <row r="26" spans="1:10" x14ac:dyDescent="0.25">
      <c r="A26" t="s">
        <v>221</v>
      </c>
      <c r="B26" t="s">
        <v>222</v>
      </c>
      <c r="C26" t="s">
        <v>102</v>
      </c>
      <c r="D26" t="s">
        <v>142</v>
      </c>
      <c r="E26" t="s">
        <v>223</v>
      </c>
      <c r="F26" t="s">
        <v>105</v>
      </c>
      <c r="H26" t="s">
        <v>144</v>
      </c>
      <c r="I26" t="s">
        <v>131</v>
      </c>
    </row>
    <row r="27" spans="1:10" x14ac:dyDescent="0.25">
      <c r="A27" t="s">
        <v>224</v>
      </c>
      <c r="B27" t="s">
        <v>225</v>
      </c>
      <c r="C27" t="s">
        <v>102</v>
      </c>
      <c r="D27" t="s">
        <v>142</v>
      </c>
      <c r="E27" t="s">
        <v>226</v>
      </c>
      <c r="F27" t="s">
        <v>105</v>
      </c>
      <c r="H27" t="s">
        <v>144</v>
      </c>
      <c r="I27" t="s">
        <v>146</v>
      </c>
    </row>
    <row r="28" spans="1:10" x14ac:dyDescent="0.25">
      <c r="A28" t="s">
        <v>227</v>
      </c>
      <c r="B28" t="s">
        <v>228</v>
      </c>
      <c r="C28" t="s">
        <v>102</v>
      </c>
      <c r="D28" t="s">
        <v>142</v>
      </c>
      <c r="E28" t="s">
        <v>229</v>
      </c>
      <c r="F28" t="s">
        <v>105</v>
      </c>
      <c r="H28" t="s">
        <v>144</v>
      </c>
      <c r="I28" t="s">
        <v>146</v>
      </c>
    </row>
    <row r="29" spans="1:10" x14ac:dyDescent="0.25">
      <c r="A29" t="s">
        <v>230</v>
      </c>
      <c r="B29" t="s">
        <v>231</v>
      </c>
      <c r="C29" t="s">
        <v>102</v>
      </c>
      <c r="D29" t="s">
        <v>142</v>
      </c>
      <c r="E29" t="s">
        <v>232</v>
      </c>
      <c r="F29" t="s">
        <v>105</v>
      </c>
      <c r="H29" t="s">
        <v>144</v>
      </c>
      <c r="I29" t="s">
        <v>131</v>
      </c>
    </row>
    <row r="30" spans="1:10" x14ac:dyDescent="0.25">
      <c r="A30" t="s">
        <v>314</v>
      </c>
      <c r="B30" t="s">
        <v>315</v>
      </c>
      <c r="C30" t="s">
        <v>102</v>
      </c>
      <c r="D30" t="s">
        <v>142</v>
      </c>
      <c r="E30" t="s">
        <v>316</v>
      </c>
      <c r="F30" t="s">
        <v>105</v>
      </c>
      <c r="H30" t="s">
        <v>144</v>
      </c>
      <c r="I30" t="s">
        <v>146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0B473-4582-43ED-896F-66EA1D6ED209}">
  <sheetPr codeName="Sheet31"/>
  <dimension ref="A1:O1"/>
  <sheetViews>
    <sheetView workbookViewId="0">
      <selection activeCell="C2" sqref="C2"/>
    </sheetView>
  </sheetViews>
  <sheetFormatPr defaultRowHeight="15" x14ac:dyDescent="0.25"/>
  <cols>
    <col min="1" max="1" width="8.5703125" bestFit="1" customWidth="1"/>
    <col min="2" max="2" width="21.85546875" bestFit="1" customWidth="1"/>
    <col min="3" max="3" width="10.85546875" bestFit="1" customWidth="1"/>
    <col min="4" max="4" width="16.5703125" bestFit="1" customWidth="1"/>
    <col min="5" max="5" width="14.42578125" bestFit="1" customWidth="1"/>
    <col min="6" max="6" width="15.7109375" bestFit="1" customWidth="1"/>
    <col min="7" max="7" width="21.28515625" bestFit="1" customWidth="1"/>
    <col min="8" max="8" width="18.140625" bestFit="1" customWidth="1"/>
    <col min="9" max="9" width="18.28515625" bestFit="1" customWidth="1"/>
    <col min="10" max="10" width="9" bestFit="1" customWidth="1"/>
    <col min="11" max="11" width="10.85546875" bestFit="1" customWidth="1"/>
    <col min="12" max="12" width="24.5703125" bestFit="1" customWidth="1"/>
    <col min="13" max="13" width="23.28515625" bestFit="1" customWidth="1"/>
    <col min="14" max="14" width="14.7109375" bestFit="1" customWidth="1"/>
    <col min="15" max="15" width="34" customWidth="1"/>
  </cols>
  <sheetData>
    <row r="1" spans="1:15" x14ac:dyDescent="0.25">
      <c r="A1" t="s">
        <v>90</v>
      </c>
      <c r="B1" t="s">
        <v>233</v>
      </c>
      <c r="C1" t="s">
        <v>234</v>
      </c>
      <c r="D1" t="s">
        <v>235</v>
      </c>
      <c r="E1" t="s">
        <v>236</v>
      </c>
      <c r="F1" t="s">
        <v>237</v>
      </c>
      <c r="G1" t="s">
        <v>238</v>
      </c>
      <c r="H1" t="s">
        <v>239</v>
      </c>
      <c r="I1" t="s">
        <v>240</v>
      </c>
      <c r="J1" t="s">
        <v>241</v>
      </c>
      <c r="K1" t="s">
        <v>242</v>
      </c>
      <c r="L1" t="s">
        <v>243</v>
      </c>
      <c r="M1" t="s">
        <v>244</v>
      </c>
      <c r="N1" t="s">
        <v>245</v>
      </c>
      <c r="O1" t="s">
        <v>246</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12F43-714B-4935-B5C1-E3A0918F738D}">
  <sheetPr codeName="Sheet30"/>
  <dimension ref="A1:U2"/>
  <sheetViews>
    <sheetView workbookViewId="0">
      <selection activeCell="A2" sqref="A2"/>
    </sheetView>
  </sheetViews>
  <sheetFormatPr defaultRowHeight="15" x14ac:dyDescent="0.25"/>
  <cols>
    <col min="1" max="1" width="8.5703125" bestFit="1" customWidth="1"/>
    <col min="2" max="2" width="13.42578125" bestFit="1" customWidth="1"/>
    <col min="3" max="3" width="18.140625" bestFit="1" customWidth="1"/>
    <col min="4" max="4" width="16.85546875" bestFit="1" customWidth="1"/>
    <col min="5" max="5" width="23.28515625" bestFit="1" customWidth="1"/>
    <col min="6" max="6" width="15.140625" bestFit="1" customWidth="1"/>
    <col min="7" max="7" width="25.5703125" bestFit="1" customWidth="1"/>
    <col min="8" max="8" width="22.28515625" bestFit="1" customWidth="1"/>
    <col min="9" max="9" width="30.140625" bestFit="1" customWidth="1"/>
    <col min="10" max="10" width="22.85546875" bestFit="1" customWidth="1"/>
    <col min="11" max="11" width="24.28515625" bestFit="1" customWidth="1"/>
    <col min="12" max="12" width="29.140625" bestFit="1" customWidth="1"/>
    <col min="13" max="13" width="25.28515625" bestFit="1" customWidth="1"/>
    <col min="14" max="14" width="15" bestFit="1" customWidth="1"/>
    <col min="15" max="15" width="30.28515625" bestFit="1" customWidth="1"/>
    <col min="16" max="16" width="20" bestFit="1" customWidth="1"/>
    <col min="17" max="17" width="18.5703125" bestFit="1" customWidth="1"/>
    <col min="18" max="18" width="17" bestFit="1" customWidth="1"/>
    <col min="19" max="19" width="29.7109375" bestFit="1" customWidth="1"/>
    <col min="20" max="20" width="26.85546875" bestFit="1" customWidth="1"/>
    <col min="21" max="21" width="25" bestFit="1" customWidth="1"/>
    <col min="22" max="22" width="29.7109375" bestFit="1" customWidth="1"/>
  </cols>
  <sheetData>
    <row r="1" spans="1:21" x14ac:dyDescent="0.25">
      <c r="A1" t="s">
        <v>90</v>
      </c>
      <c r="B1" t="s">
        <v>247</v>
      </c>
      <c r="C1" t="s">
        <v>248</v>
      </c>
      <c r="D1" t="s">
        <v>249</v>
      </c>
      <c r="E1" t="s">
        <v>244</v>
      </c>
      <c r="F1" t="s">
        <v>250</v>
      </c>
      <c r="G1" t="s">
        <v>251</v>
      </c>
      <c r="H1" t="s">
        <v>252</v>
      </c>
      <c r="I1" t="s">
        <v>253</v>
      </c>
      <c r="J1" t="s">
        <v>254</v>
      </c>
      <c r="K1" t="s">
        <v>255</v>
      </c>
      <c r="L1" t="s">
        <v>256</v>
      </c>
      <c r="M1" t="s">
        <v>257</v>
      </c>
      <c r="N1" t="s">
        <v>258</v>
      </c>
      <c r="O1" t="s">
        <v>259</v>
      </c>
      <c r="P1" t="s">
        <v>260</v>
      </c>
      <c r="Q1" t="s">
        <v>261</v>
      </c>
      <c r="R1" t="s">
        <v>262</v>
      </c>
      <c r="S1" t="s">
        <v>263</v>
      </c>
      <c r="T1" t="s">
        <v>317</v>
      </c>
      <c r="U1" t="s">
        <v>318</v>
      </c>
    </row>
    <row r="2" spans="1:21" s="20" customFormat="1" x14ac:dyDescent="0.25">
      <c r="D2" s="21"/>
      <c r="T2"/>
      <c r="U2"/>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33698-4CA7-423D-8EF6-F4564466D519}">
  <sheetPr codeName="Sheet6"/>
  <dimension ref="A1:X2"/>
  <sheetViews>
    <sheetView workbookViewId="0">
      <selection activeCell="K2" sqref="K2"/>
    </sheetView>
  </sheetViews>
  <sheetFormatPr defaultRowHeight="15" x14ac:dyDescent="0.25"/>
  <cols>
    <col min="1" max="1" width="21.42578125" bestFit="1" customWidth="1"/>
    <col min="2" max="2" width="11" bestFit="1" customWidth="1"/>
    <col min="3" max="3" width="20" bestFit="1" customWidth="1"/>
    <col min="4" max="4" width="17.28515625" bestFit="1" customWidth="1"/>
    <col min="5" max="5" width="22.28515625" bestFit="1" customWidth="1"/>
    <col min="6" max="6" width="23.28515625" bestFit="1" customWidth="1"/>
    <col min="7" max="7" width="15.140625" bestFit="1" customWidth="1"/>
    <col min="8" max="8" width="21.7109375" bestFit="1" customWidth="1"/>
    <col min="9" max="9" width="19.7109375" bestFit="1" customWidth="1"/>
    <col min="10" max="10" width="26" bestFit="1" customWidth="1"/>
    <col min="11" max="11" width="26.7109375" bestFit="1" customWidth="1"/>
    <col min="12" max="12" width="22.85546875" bestFit="1" customWidth="1"/>
    <col min="13" max="13" width="27.28515625" bestFit="1" customWidth="1"/>
    <col min="14" max="14" width="10.7109375" bestFit="1" customWidth="1"/>
    <col min="15" max="15" width="20.85546875" bestFit="1" customWidth="1"/>
    <col min="16" max="16" width="16.42578125" bestFit="1" customWidth="1"/>
    <col min="17" max="17" width="25.5703125" bestFit="1" customWidth="1"/>
    <col min="18" max="18" width="14.140625" bestFit="1" customWidth="1"/>
    <col min="19" max="19" width="22.140625" bestFit="1" customWidth="1"/>
    <col min="20" max="20" width="30.85546875" bestFit="1" customWidth="1"/>
    <col min="21" max="21" width="28.5703125" bestFit="1" customWidth="1"/>
    <col min="22" max="22" width="21.85546875" bestFit="1" customWidth="1"/>
    <col min="23" max="23" width="22.42578125" bestFit="1" customWidth="1"/>
    <col min="24" max="24" width="20.42578125" customWidth="1"/>
  </cols>
  <sheetData>
    <row r="1" spans="1:24" x14ac:dyDescent="0.25">
      <c r="A1" t="s">
        <v>264</v>
      </c>
      <c r="B1" t="s">
        <v>90</v>
      </c>
      <c r="C1" t="s">
        <v>265</v>
      </c>
      <c r="D1" t="s">
        <v>266</v>
      </c>
      <c r="E1" t="s">
        <v>252</v>
      </c>
      <c r="F1" t="s">
        <v>244</v>
      </c>
      <c r="G1" t="s">
        <v>250</v>
      </c>
      <c r="H1" t="s">
        <v>267</v>
      </c>
      <c r="I1" t="s">
        <v>268</v>
      </c>
      <c r="J1" t="s">
        <v>269</v>
      </c>
      <c r="K1" t="s">
        <v>270</v>
      </c>
      <c r="L1" t="s">
        <v>271</v>
      </c>
      <c r="M1" t="s">
        <v>272</v>
      </c>
      <c r="N1" t="s">
        <v>273</v>
      </c>
      <c r="O1" t="s">
        <v>274</v>
      </c>
      <c r="P1" t="s">
        <v>275</v>
      </c>
      <c r="Q1" t="s">
        <v>276</v>
      </c>
      <c r="R1" t="s">
        <v>277</v>
      </c>
      <c r="S1" t="s">
        <v>278</v>
      </c>
      <c r="T1" t="s">
        <v>279</v>
      </c>
      <c r="U1" t="s">
        <v>280</v>
      </c>
      <c r="V1" t="s">
        <v>281</v>
      </c>
      <c r="W1" t="s">
        <v>282</v>
      </c>
      <c r="X1" t="s">
        <v>283</v>
      </c>
    </row>
    <row r="2" spans="1:24" x14ac:dyDescent="0.25">
      <c r="A2" t="s">
        <v>284</v>
      </c>
      <c r="B2" t="s">
        <v>285</v>
      </c>
      <c r="C2" t="s">
        <v>286</v>
      </c>
      <c r="E2" t="s">
        <v>287</v>
      </c>
      <c r="F2" t="s">
        <v>288</v>
      </c>
      <c r="G2" t="s">
        <v>289</v>
      </c>
      <c r="H2" t="s">
        <v>290</v>
      </c>
      <c r="I2" t="s">
        <v>285</v>
      </c>
      <c r="J2" t="s">
        <v>291</v>
      </c>
      <c r="M2" t="b">
        <v>1</v>
      </c>
      <c r="N2" t="s">
        <v>292</v>
      </c>
      <c r="O2" t="s">
        <v>293</v>
      </c>
      <c r="P2" t="s">
        <v>294</v>
      </c>
      <c r="Q2" t="s">
        <v>295</v>
      </c>
      <c r="R2" t="s">
        <v>296</v>
      </c>
      <c r="S2">
        <v>0</v>
      </c>
      <c r="U2" t="s">
        <v>297</v>
      </c>
      <c r="V2">
        <v>0</v>
      </c>
      <c r="W2">
        <v>0</v>
      </c>
      <c r="X2" t="s">
        <v>298</v>
      </c>
    </row>
  </sheetData>
  <phoneticPr fontId="1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ED2AA-D59E-4C48-85D6-4BAE6D5B8791}">
  <sheetPr codeName="Sheet26"/>
  <dimension ref="A1:M2"/>
  <sheetViews>
    <sheetView workbookViewId="0">
      <selection activeCell="B2" sqref="B2"/>
    </sheetView>
  </sheetViews>
  <sheetFormatPr defaultRowHeight="14.25" x14ac:dyDescent="0.2"/>
  <cols>
    <col min="1" max="1" width="5" style="1" bestFit="1" customWidth="1"/>
    <col min="2" max="2" width="9.28515625" style="1" bestFit="1" customWidth="1"/>
    <col min="3" max="3" width="21.42578125" style="1" bestFit="1" customWidth="1"/>
    <col min="4" max="4" width="12.28515625" style="1" bestFit="1" customWidth="1"/>
    <col min="5" max="5" width="17.7109375" style="1" bestFit="1" customWidth="1"/>
    <col min="6" max="6" width="17.85546875" style="1" bestFit="1" customWidth="1"/>
    <col min="7" max="7" width="17.140625" style="1" bestFit="1" customWidth="1"/>
    <col min="8" max="8" width="27.7109375" style="1" customWidth="1"/>
    <col min="9" max="9" width="16.5703125" style="1" bestFit="1" customWidth="1"/>
    <col min="10" max="10" width="35.85546875" style="1" bestFit="1" customWidth="1"/>
    <col min="11" max="11" width="25.5703125" style="1" bestFit="1" customWidth="1"/>
    <col min="12" max="12" width="22.85546875" style="1" bestFit="1" customWidth="1"/>
    <col min="13" max="13" width="20.140625" style="1" bestFit="1" customWidth="1"/>
    <col min="14" max="14" width="16.5703125" style="1" bestFit="1" customWidth="1"/>
    <col min="15" max="15" width="25.85546875" style="1" bestFit="1" customWidth="1"/>
    <col min="16" max="16" width="32.42578125" style="1" bestFit="1" customWidth="1"/>
    <col min="17" max="17" width="19.85546875" style="1" bestFit="1" customWidth="1"/>
    <col min="18" max="18" width="15.85546875" style="1" bestFit="1" customWidth="1"/>
    <col min="19" max="19" width="14.28515625" style="1" bestFit="1" customWidth="1"/>
    <col min="20" max="20" width="36.140625" style="1" bestFit="1" customWidth="1"/>
    <col min="21" max="21" width="20.140625" style="1" bestFit="1" customWidth="1"/>
    <col min="22" max="22" width="25.42578125" style="1" bestFit="1" customWidth="1"/>
    <col min="23" max="23" width="18.85546875" style="1" bestFit="1" customWidth="1"/>
    <col min="24" max="24" width="81.140625" style="1" bestFit="1" customWidth="1"/>
    <col min="25" max="16384" width="9.140625" style="1"/>
  </cols>
  <sheetData>
    <row r="1" spans="1:13" ht="15" x14ac:dyDescent="0.25">
      <c r="A1" t="s">
        <v>264</v>
      </c>
      <c r="B1" s="1" t="s">
        <v>90</v>
      </c>
      <c r="C1" s="1" t="s">
        <v>265</v>
      </c>
      <c r="D1" t="s">
        <v>91</v>
      </c>
      <c r="E1" t="s">
        <v>311</v>
      </c>
      <c r="F1" t="s">
        <v>299</v>
      </c>
      <c r="G1" t="s">
        <v>267</v>
      </c>
      <c r="H1" s="1" t="s">
        <v>301</v>
      </c>
      <c r="I1" s="1" t="s">
        <v>302</v>
      </c>
      <c r="J1" t="s">
        <v>300</v>
      </c>
      <c r="K1" t="s">
        <v>312</v>
      </c>
      <c r="L1" t="s">
        <v>313</v>
      </c>
      <c r="M1" s="1" t="s">
        <v>303</v>
      </c>
    </row>
    <row r="2" spans="1:13" ht="15" x14ac:dyDescent="0.25">
      <c r="A2"/>
      <c r="D2"/>
      <c r="E2"/>
      <c r="F2"/>
      <c r="G2"/>
      <c r="J2"/>
      <c r="K2"/>
      <c r="L2"/>
    </row>
  </sheetData>
  <phoneticPr fontId="11"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5060057E979C541B272B84A7FFCB1C8" ma:contentTypeVersion="13" ma:contentTypeDescription="Create a new document." ma:contentTypeScope="" ma:versionID="a647aa1e541104a12269c1eb5474332f">
  <xsd:schema xmlns:xsd="http://www.w3.org/2001/XMLSchema" xmlns:xs="http://www.w3.org/2001/XMLSchema" xmlns:p="http://schemas.microsoft.com/office/2006/metadata/properties" xmlns:ns2="fdc9e6ab-7c4b-4e6a-bc1d-5c7bf932c03e" xmlns:ns3="d844ee1d-75af-49f6-800a-e7955433c494" targetNamespace="http://schemas.microsoft.com/office/2006/metadata/properties" ma:root="true" ma:fieldsID="3bcb136883933d163459f3fdd94965b3" ns2:_="" ns3:_="">
    <xsd:import namespace="fdc9e6ab-7c4b-4e6a-bc1d-5c7bf932c03e"/>
    <xsd:import namespace="d844ee1d-75af-49f6-800a-e7955433c4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dc9e6ab-7c4b-4e6a-bc1d-5c7bf932c03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77ad4b4-66bd-420a-861f-1f8b183f7278"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844ee1d-75af-49f6-800a-e7955433c494"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fdc9e6ab-7c4b-4e6a-bc1d-5c7bf932c03e">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26433F3-9989-46FD-8B7D-E007BC333062}">
  <ds:schemaRefs>
    <ds:schemaRef ds:uri="http://schemas.microsoft.com/DataMashup"/>
  </ds:schemaRefs>
</ds:datastoreItem>
</file>

<file path=customXml/itemProps2.xml><?xml version="1.0" encoding="utf-8"?>
<ds:datastoreItem xmlns:ds="http://schemas.openxmlformats.org/officeDocument/2006/customXml" ds:itemID="{6DFD8F9A-25B3-4953-BDAF-A73DA5A76617}">
  <ds:schemaRefs>
    <ds:schemaRef ds:uri="http://schemas.microsoft.com/sharepoint/v3/contenttype/forms"/>
  </ds:schemaRefs>
</ds:datastoreItem>
</file>

<file path=customXml/itemProps3.xml><?xml version="1.0" encoding="utf-8"?>
<ds:datastoreItem xmlns:ds="http://schemas.openxmlformats.org/officeDocument/2006/customXml" ds:itemID="{9201680E-DA5C-40E9-93CF-B62347B522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dc9e6ab-7c4b-4e6a-bc1d-5c7bf932c03e"/>
    <ds:schemaRef ds:uri="d844ee1d-75af-49f6-800a-e7955433c4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F1A1828-EC0F-49EC-A71E-2693F192C208}">
  <ds:schemaRefs>
    <ds:schemaRef ds:uri="http://schemas.microsoft.com/office/2006/metadata/properties"/>
    <ds:schemaRef ds:uri="http://schemas.microsoft.com/office/infopath/2007/PartnerControls"/>
    <ds:schemaRef ds:uri="fdc9e6ab-7c4b-4e6a-bc1d-5c7bf932c03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Welcome</vt:lpstr>
      <vt:lpstr>Problem Records</vt:lpstr>
      <vt:lpstr>Ticket</vt:lpstr>
      <vt:lpstr>Problem</vt:lpstr>
      <vt:lpstr>Account</vt:lpstr>
      <vt:lpstr>Opportunity</vt:lpstr>
      <vt:lpstr>IGT Solution Stack</vt:lpstr>
      <vt:lpstr>Change Request</vt:lpstr>
      <vt:lpstr>CR_ID</vt:lpstr>
      <vt:lpstr>CR_NAME</vt:lpstr>
      <vt:lpstr>CustFilter</vt:lpstr>
      <vt:lpstr>Ticket!ExternalData_1</vt:lpstr>
      <vt:lpstr>FilterValue</vt:lpstr>
      <vt:lpstr>OppFilter</vt:lpstr>
      <vt:lpstr>OppValue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Aragon, Timothy</dc:creator>
  <cp:keywords/>
  <dc:description/>
  <cp:lastModifiedBy>Aragon, Timothy</cp:lastModifiedBy>
  <cp:revision/>
  <dcterms:created xsi:type="dcterms:W3CDTF">2024-02-06T07:31:25Z</dcterms:created>
  <dcterms:modified xsi:type="dcterms:W3CDTF">2024-05-16T04:15:30Z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0x01010025060057E979C541B272B84A7FFCB1C8</vt:lpwstr>
  </property>
  <property fmtid="{D5CDD505-2E9C-101B-9397-08002B2CF9AE}" pid="3" name="MediaServiceImageTags">
    <vt:lpwstr/>
  </property>
</Properties>
</file>